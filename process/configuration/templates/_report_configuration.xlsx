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6440" tabRatio="600" firstSheet="0" activeTab="5" autoFilterDateGrouping="1"/>
  </bookViews>
  <sheets>
    <sheet xmlns:r="http://schemas.openxmlformats.org/officeDocument/2006/relationships" name="policy_spatial" sheetId="1" state="visible" r:id="rId1"/>
    <sheet xmlns:r="http://schemas.openxmlformats.org/officeDocument/2006/relationships" name="spatial" sheetId="2" state="visible" r:id="rId2"/>
    <sheet xmlns:r="http://schemas.openxmlformats.org/officeDocument/2006/relationships" name="policy" sheetId="3" state="visible" r:id="rId3"/>
    <sheet xmlns:r="http://schemas.openxmlformats.org/officeDocument/2006/relationships" name="policy_spatial_ee" sheetId="4" state="visible" r:id="rId4"/>
    <sheet xmlns:r="http://schemas.openxmlformats.org/officeDocument/2006/relationships" name="spatial_ee" sheetId="5" state="visible" r:id="rId5"/>
    <sheet xmlns:r="http://schemas.openxmlformats.org/officeDocument/2006/relationships" name="languages" sheetId="6" state="visible" r:id="rId6"/>
    <sheet xmlns:r="http://schemas.openxmlformats.org/officeDocument/2006/relationships" name="Translation Sign-off" sheetId="7" state="visible" r:id="rId7"/>
    <sheet xmlns:r="http://schemas.openxmlformats.org/officeDocument/2006/relationships" name="fonts" sheetId="8" state="visible" r:id="rId8"/>
  </sheets>
  <definedNames>
    <definedName name="_xlnm._FilterDatabase" localSheetId="0" hidden="1">'policy_spatial'!$A$1:$T$1</definedName>
    <definedName name="_xlnm._FilterDatabase" localSheetId="1" hidden="1">'spatial'!$A$1:$T$48</definedName>
    <definedName name="_xlnm._FilterDatabase" localSheetId="2" hidden="1">'policy'!$A$1:$T$1</definedName>
    <definedName name="_xlnm._FilterDatabase" localSheetId="3" hidden="1">'policy_spatial_ee'!$A$1:$T$1</definedName>
    <definedName name="_xlnm._FilterDatabase" localSheetId="4" hidden="1">'spatial_ee'!$A$1:$T$48</definedName>
    <definedName name="_xlnm._FilterDatabase" localSheetId="6" hidden="1">'Translation Sign-off'!$A$4:$H$4</definedName>
  </definedNames>
  <calcPr calcId="191029" fullCalcOnLoad="1"/>
</workbook>
</file>

<file path=xl/styles.xml><?xml version="1.0" encoding="utf-8"?>
<styleSheet xmlns="http://schemas.openxmlformats.org/spreadsheetml/2006/main">
  <numFmts count="1">
    <numFmt numFmtId="164" formatCode="yyyy\-mm\-dd;@"/>
  </numFmts>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scheme val="minor"/>
    </font>
    <font>
      <name val="Calibri"/>
      <family val="2"/>
      <b val="1"/>
      <color theme="0" tint="-0.499984740745262"/>
      <sz val="11"/>
      <scheme val="minor"/>
    </font>
    <font>
      <name val="Calibri"/>
      <family val="2"/>
      <color theme="0" tint="-0.499984740745262"/>
      <sz val="11"/>
      <scheme val="minor"/>
    </font>
    <font>
      <name val="Calibri"/>
      <family val="2"/>
      <sz val="11"/>
      <scheme val="minor"/>
    </font>
    <font>
      <name val="Consolas"/>
      <family val="3"/>
      <color rgb="FF202124"/>
      <sz val="9"/>
    </font>
    <font>
      <name val="Calibri"/>
      <family val="2"/>
      <color theme="10"/>
      <sz val="11"/>
      <u val="single"/>
      <scheme val="minor"/>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3" fillId="0" borderId="0"/>
  </cellStyleXfs>
  <cellXfs count="54">
    <xf numFmtId="0" fontId="0" fillId="0" borderId="0" pivotButton="0" quotePrefix="0" xfId="0"/>
    <xf numFmtId="0" fontId="0" fillId="0" borderId="0" applyAlignment="1" pivotButton="0" quotePrefix="0" xfId="0">
      <alignment horizontal="left" vertical="center"/>
    </xf>
    <xf numFmtId="0" fontId="0" fillId="0" borderId="0" applyAlignment="1" pivotButton="0" quotePrefix="0" xfId="0">
      <alignment vertical="top"/>
    </xf>
    <xf numFmtId="0" fontId="0" fillId="0" borderId="0" applyAlignment="1" pivotButton="0" quotePrefix="0" xfId="0">
      <alignment vertical="top" wrapText="1"/>
    </xf>
    <xf numFmtId="0" fontId="16" fillId="0" borderId="0" pivotButton="0" quotePrefix="0" xfId="0"/>
    <xf numFmtId="0" fontId="0" fillId="0" borderId="0" applyAlignment="1" pivotButton="0" quotePrefix="0" xfId="0">
      <alignment horizontal="left" vertical="center" wrapText="1"/>
    </xf>
    <xf numFmtId="0" fontId="16" fillId="0" borderId="10" applyAlignment="1" pivotButton="0" quotePrefix="0" xfId="0">
      <alignment vertical="top" wrapText="1"/>
    </xf>
    <xf numFmtId="0" fontId="16" fillId="0" borderId="11" applyAlignment="1" pivotButton="0" quotePrefix="0" xfId="0">
      <alignment vertical="top" wrapText="1"/>
    </xf>
    <xf numFmtId="0" fontId="0" fillId="0" borderId="13" applyAlignment="1" pivotButton="0" quotePrefix="0" xfId="0">
      <alignment vertical="top" wrapText="1"/>
    </xf>
    <xf numFmtId="0" fontId="0" fillId="0" borderId="12" applyAlignment="1" pivotButton="0" quotePrefix="0" xfId="0">
      <alignmen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0" fillId="0" borderId="1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20" fillId="0" borderId="0" applyAlignment="1" pivotButton="0" quotePrefix="0" xfId="0">
      <alignment vertical="top" wrapText="1"/>
    </xf>
    <xf numFmtId="0" fontId="18" fillId="0" borderId="13" applyAlignment="1" pivotButton="0" quotePrefix="0" xfId="0">
      <alignment vertical="top" wrapText="1"/>
    </xf>
    <xf numFmtId="0" fontId="20" fillId="0" borderId="0" applyAlignment="1" pivotButton="0" quotePrefix="0" xfId="0">
      <alignment vertical="top"/>
    </xf>
    <xf numFmtId="0" fontId="0" fillId="0" borderId="0" applyAlignment="1" pivotButton="0" quotePrefix="0" xfId="0">
      <alignment horizontal="left" vertical="top"/>
    </xf>
    <xf numFmtId="0" fontId="0" fillId="0" borderId="10" applyAlignment="1" pivotButton="0" quotePrefix="1" xfId="0">
      <alignment vertical="top" wrapText="1"/>
    </xf>
    <xf numFmtId="0" fontId="21" fillId="0" borderId="12" applyAlignment="1" pivotButton="0" quotePrefix="0" xfId="0">
      <alignment vertical="top" wrapText="1"/>
    </xf>
    <xf numFmtId="0" fontId="18" fillId="0" borderId="0" pivotButton="0" quotePrefix="0" xfId="0"/>
    <xf numFmtId="0" fontId="0" fillId="0" borderId="12" applyAlignment="1" pivotButton="0" quotePrefix="1" xfId="0">
      <alignment vertical="top" wrapText="1"/>
    </xf>
    <xf numFmtId="0" fontId="22" fillId="0" borderId="0" pivotButton="0" quotePrefix="0" xfId="0"/>
    <xf numFmtId="0" fontId="18" fillId="0" borderId="12" applyAlignment="1" pivotButton="0" quotePrefix="0" xfId="0">
      <alignment vertical="top" wrapText="1"/>
    </xf>
    <xf numFmtId="9" fontId="0" fillId="0" borderId="0" pivotButton="0" quotePrefix="0" xfId="0"/>
    <xf numFmtId="9" fontId="0" fillId="0" borderId="0" applyAlignment="1" pivotButton="0" quotePrefix="1" xfId="0">
      <alignment horizontal="left" vertical="center"/>
    </xf>
    <xf numFmtId="0" fontId="0" fillId="0" borderId="0" applyAlignment="1" pivotButton="0" quotePrefix="0" xfId="0">
      <alignment wrapText="1"/>
    </xf>
    <xf numFmtId="0" fontId="0" fillId="0" borderId="14" applyAlignment="1" pivotButton="0" quotePrefix="0" xfId="0">
      <alignment vertical="top"/>
    </xf>
    <xf numFmtId="0" fontId="0" fillId="0" borderId="14" pivotButton="0" quotePrefix="0" xfId="0"/>
    <xf numFmtId="0" fontId="16" fillId="0" borderId="16" applyAlignment="1" pivotButton="0" quotePrefix="0" xfId="0">
      <alignment vertical="top" wrapText="1"/>
    </xf>
    <xf numFmtId="0" fontId="0" fillId="0" borderId="16" applyAlignment="1" pivotButton="0" quotePrefix="0" xfId="0">
      <alignment vertical="top"/>
    </xf>
    <xf numFmtId="0" fontId="0" fillId="0" borderId="16" pivotButton="0" quotePrefix="0" xfId="0"/>
    <xf numFmtId="0" fontId="0" fillId="0" borderId="16" applyAlignment="1" pivotButton="0" quotePrefix="0" xfId="0">
      <alignment wrapText="1"/>
    </xf>
    <xf numFmtId="0" fontId="16" fillId="0" borderId="17" applyAlignment="1" pivotButton="0" quotePrefix="0" xfId="0">
      <alignment vertical="top" wrapText="1"/>
    </xf>
    <xf numFmtId="0" fontId="16" fillId="0" borderId="17" applyAlignment="1" pivotButton="0" quotePrefix="0" xfId="0">
      <alignment horizontal="center" vertical="center" wrapText="1"/>
    </xf>
    <xf numFmtId="0" fontId="16" fillId="0" borderId="17" applyAlignment="1" pivotButton="0" quotePrefix="0" xfId="0">
      <alignment horizontal="center" vertical="top" wrapText="1"/>
    </xf>
    <xf numFmtId="0" fontId="0" fillId="0" borderId="14" applyAlignment="1" pivotButton="0" quotePrefix="0" xfId="0">
      <alignment horizontal="center" vertical="top"/>
    </xf>
    <xf numFmtId="0" fontId="0" fillId="0" borderId="16" applyAlignment="1" pivotButton="0" quotePrefix="0" xfId="0">
      <alignment horizontal="center" vertical="top"/>
    </xf>
    <xf numFmtId="0" fontId="0" fillId="0" borderId="16" applyAlignment="1" pivotButton="0" quotePrefix="0" xfId="0">
      <alignment horizontal="center"/>
    </xf>
    <xf numFmtId="0" fontId="0" fillId="0" borderId="0" applyAlignment="1" pivotButton="0" quotePrefix="0" xfId="0">
      <alignment horizontal="center"/>
    </xf>
    <xf numFmtId="0" fontId="16" fillId="0" borderId="18" applyAlignment="1" pivotButton="0" quotePrefix="0" xfId="0">
      <alignment horizontal="center" vertical="center" wrapText="1"/>
    </xf>
    <xf numFmtId="0" fontId="0" fillId="0" borderId="0" applyAlignment="1" pivotButton="0" quotePrefix="1" xfId="0">
      <alignment vertical="top" wrapText="1"/>
    </xf>
    <xf numFmtId="164" fontId="0" fillId="0" borderId="10" applyAlignment="1" pivotButton="0" quotePrefix="0" xfId="0">
      <alignment vertical="top" wrapText="1"/>
    </xf>
    <xf numFmtId="0" fontId="0" fillId="0" borderId="0" applyAlignment="1" pivotButton="0" quotePrefix="0" xfId="0">
      <alignment horizontal="right" vertical="top" wrapText="1"/>
    </xf>
    <xf numFmtId="0" fontId="0" fillId="0" borderId="16" applyAlignment="1" pivotButton="0" quotePrefix="0" xfId="0">
      <alignment vertical="top" wrapText="1"/>
    </xf>
    <xf numFmtId="0" fontId="0" fillId="0" borderId="13" applyAlignment="1" pivotButton="0" quotePrefix="0" xfId="0">
      <alignment horizontal="right" vertical="top" wrapText="1"/>
    </xf>
    <xf numFmtId="0" fontId="20" fillId="33" borderId="0" applyAlignment="1" pivotButton="0" quotePrefix="0" xfId="0">
      <alignment vertical="top"/>
    </xf>
    <xf numFmtId="0" fontId="23" fillId="33" borderId="0" applyAlignment="1" pivotButton="0" quotePrefix="0" xfId="42">
      <alignment vertical="top"/>
    </xf>
    <xf numFmtId="0" fontId="16" fillId="0" borderId="15" applyAlignment="1" pivotButton="0" quotePrefix="0" xfId="0">
      <alignment horizontal="center" vertical="top" wrapText="1"/>
    </xf>
    <xf numFmtId="0" fontId="16" fillId="0" borderId="18" applyAlignment="1" pivotButton="0" quotePrefix="0" xfId="0">
      <alignment horizontal="center" vertical="top" wrapText="1"/>
    </xf>
    <xf numFmtId="0" fontId="0" fillId="0" borderId="0" applyAlignment="1" pivotButton="0" quotePrefix="0" xfId="0">
      <alignment horizontal="left" vertical="top" wrapText="1"/>
    </xf>
    <xf numFmtId="0" fontId="0" fillId="0" borderId="21" pivotButton="0" quotePrefix="0" xfId="0"/>
    <xf numFmtId="0" fontId="0" fillId="0" borderId="18"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dxfs count="3">
    <dxf>
      <fill>
        <patternFill>
          <bgColor theme="7" tint="0.5999633777886288"/>
        </patternFill>
      </fill>
    </dxf>
    <dxf>
      <fill>
        <patternFill>
          <bgColor theme="7" tint="0.5999633777886288"/>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github.com/healthysustainablecities/global-indicators/issues/600" TargetMode="External" Id="rId1"/><Relationship Type="http://schemas.openxmlformats.org/officeDocument/2006/relationships/hyperlink" Target="https://github.com/healthysustainablecities/global-indicators/issues/600" TargetMode="External" Id="rId2"/></Relationships>
</file>

<file path=xl/worksheets/sheet1.xml><?xml version="1.0" encoding="utf-8"?>
<worksheet xmlns="http://schemas.openxmlformats.org/spreadsheetml/2006/main">
  <sheetPr>
    <outlinePr summaryBelow="1" summaryRight="1"/>
    <pageSetUpPr/>
  </sheetPr>
  <dimension ref="A1:T329"/>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3</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fawn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f1dec7</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f1dec7</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f1dec7</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f1dec7</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f1dec7</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f1dec7</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f1dec7</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region_box</t>
        </is>
      </c>
      <c r="B36" t="n">
        <v>-999</v>
      </c>
      <c r="C36" t="inlineStr">
        <is>
          <t>B</t>
        </is>
      </c>
      <c r="D36" t="n">
        <v>13</v>
      </c>
      <c r="E36" t="n">
        <v>98</v>
      </c>
      <c r="F36" t="n">
        <v>210</v>
      </c>
      <c r="G36" t="n">
        <v>50</v>
      </c>
      <c r="I36" t="n">
        <v>0</v>
      </c>
      <c r="J36" t="n">
        <v>1</v>
      </c>
      <c r="K36" t="n">
        <v>0</v>
      </c>
      <c r="L36" t="n">
        <v>0</v>
      </c>
      <c r="N36" t="inlineStr">
        <is>
          <t>FFFFFF</t>
        </is>
      </c>
      <c r="O36" t="inlineStr">
        <is>
          <t>L</t>
        </is>
      </c>
      <c r="Q36" t="n">
        <v>0</v>
      </c>
      <c r="R36" t="b">
        <v>0</v>
      </c>
      <c r="S36" t="inlineStr">
        <is>
          <t xml:space="preserve"> </t>
        </is>
      </c>
      <c r="T36" t="n">
        <v>0</v>
      </c>
    </row>
    <row r="37">
      <c r="A37" t="inlineStr">
        <is>
          <t>City context</t>
        </is>
      </c>
      <c r="B37" t="n">
        <v>3</v>
      </c>
      <c r="C37" t="inlineStr">
        <is>
          <t>T</t>
        </is>
      </c>
      <c r="D37" t="n">
        <v>14</v>
      </c>
      <c r="E37" t="n">
        <v>92</v>
      </c>
      <c r="F37" t="n">
        <v>196</v>
      </c>
      <c r="G37" t="n">
        <v>97</v>
      </c>
      <c r="H37" t="inlineStr">
        <is>
          <t>custom</t>
        </is>
      </c>
      <c r="I37" t="n">
        <v>14</v>
      </c>
      <c r="J37" t="n">
        <v>1</v>
      </c>
      <c r="K37" t="n">
        <v>0</v>
      </c>
      <c r="L37" t="n">
        <v>0</v>
      </c>
      <c r="N37" t="inlineStr">
        <is>
          <t>FFFFFF</t>
        </is>
      </c>
      <c r="O37" t="inlineStr">
        <is>
          <t>L</t>
        </is>
      </c>
      <c r="Q37" t="n">
        <v>3</v>
      </c>
      <c r="R37" t="b">
        <v>1</v>
      </c>
      <c r="S37" t="inlineStr">
        <is>
          <t xml:space="preserve"> </t>
        </is>
      </c>
      <c r="T37" t="n">
        <v>0</v>
      </c>
    </row>
    <row r="38">
      <c r="A38" t="inlineStr">
        <is>
          <t>City context blurb</t>
        </is>
      </c>
      <c r="B38" t="n">
        <v>3</v>
      </c>
      <c r="C38" t="inlineStr">
        <is>
          <t>T</t>
        </is>
      </c>
      <c r="D38" t="n">
        <v>14</v>
      </c>
      <c r="E38" t="n">
        <v>101</v>
      </c>
      <c r="F38" t="n">
        <v>196</v>
      </c>
      <c r="G38" t="n">
        <v>106</v>
      </c>
      <c r="H38" t="inlineStr">
        <is>
          <t>custom</t>
        </is>
      </c>
      <c r="I38" t="n">
        <v>12</v>
      </c>
      <c r="J38" t="n">
        <v>0</v>
      </c>
      <c r="K38" t="n">
        <v>0</v>
      </c>
      <c r="L38" t="n">
        <v>0</v>
      </c>
      <c r="N38" t="inlineStr">
        <is>
          <t>FFFFFF</t>
        </is>
      </c>
      <c r="O38" t="inlineStr">
        <is>
          <t>L</t>
        </is>
      </c>
      <c r="Q38" t="n">
        <v>3</v>
      </c>
      <c r="R38" t="b">
        <v>1</v>
      </c>
      <c r="S38" t="inlineStr">
        <is>
          <t xml:space="preserve"> </t>
        </is>
      </c>
      <c r="T38" t="n">
        <v>0</v>
      </c>
    </row>
    <row r="39">
      <c r="A39" t="inlineStr">
        <is>
          <t>Levels of government</t>
        </is>
      </c>
      <c r="B39" t="n">
        <v>3</v>
      </c>
      <c r="C39" t="inlineStr">
        <is>
          <t>T</t>
        </is>
      </c>
      <c r="D39" t="n">
        <v>14</v>
      </c>
      <c r="E39" t="n">
        <v>132</v>
      </c>
      <c r="F39" t="n">
        <v>196</v>
      </c>
      <c r="G39" t="n">
        <v>137</v>
      </c>
      <c r="H39" t="inlineStr">
        <is>
          <t>custom</t>
        </is>
      </c>
      <c r="I39" t="n">
        <v>12</v>
      </c>
      <c r="J39" t="n">
        <v>1</v>
      </c>
      <c r="K39" t="n">
        <v>0</v>
      </c>
      <c r="L39" t="n">
        <v>0</v>
      </c>
      <c r="N39" t="inlineStr">
        <is>
          <t>FFFFFF</t>
        </is>
      </c>
      <c r="O39" t="inlineStr">
        <is>
          <t>L</t>
        </is>
      </c>
      <c r="Q39" t="n">
        <v>3</v>
      </c>
      <c r="R39" t="b">
        <v>1</v>
      </c>
      <c r="S39" t="inlineStr">
        <is>
          <t xml:space="preserve"> </t>
        </is>
      </c>
      <c r="T39" t="n">
        <v>0</v>
      </c>
    </row>
    <row r="40">
      <c r="A40" t="inlineStr">
        <is>
          <t>Levels of government blurb</t>
        </is>
      </c>
      <c r="B40" t="n">
        <v>3</v>
      </c>
      <c r="C40" t="inlineStr">
        <is>
          <t>T</t>
        </is>
      </c>
      <c r="D40" t="n">
        <v>14</v>
      </c>
      <c r="E40" t="n">
        <v>141</v>
      </c>
      <c r="F40" t="n">
        <v>196</v>
      </c>
      <c r="G40" t="n">
        <v>146</v>
      </c>
      <c r="H40" t="inlineStr">
        <is>
          <t>custom</t>
        </is>
      </c>
      <c r="I40" t="n">
        <v>12</v>
      </c>
      <c r="J40" t="n">
        <v>0</v>
      </c>
      <c r="K40" t="n">
        <v>0</v>
      </c>
      <c r="L40" t="n">
        <v>0</v>
      </c>
      <c r="N40" t="inlineStr">
        <is>
          <t>FFFFFF</t>
        </is>
      </c>
      <c r="O40" t="inlineStr">
        <is>
          <t>L</t>
        </is>
      </c>
      <c r="Q40" t="n">
        <v>3</v>
      </c>
      <c r="R40" t="b">
        <v>1</v>
      </c>
      <c r="S40" t="inlineStr">
        <is>
          <t xml:space="preserve"> </t>
        </is>
      </c>
      <c r="T40" t="n">
        <v>0</v>
      </c>
    </row>
    <row r="41">
      <c r="A41" t="inlineStr">
        <is>
          <t>Demographics and health equity</t>
        </is>
      </c>
      <c r="B41" t="n">
        <v>3</v>
      </c>
      <c r="C41" t="inlineStr">
        <is>
          <t>T</t>
        </is>
      </c>
      <c r="D41" t="n">
        <v>14</v>
      </c>
      <c r="E41" t="n">
        <v>158</v>
      </c>
      <c r="F41" t="n">
        <v>196</v>
      </c>
      <c r="G41" t="n">
        <v>163</v>
      </c>
      <c r="H41" t="inlineStr">
        <is>
          <t>custom</t>
        </is>
      </c>
      <c r="I41" t="n">
        <v>12</v>
      </c>
      <c r="J41" t="n">
        <v>1</v>
      </c>
      <c r="K41" t="n">
        <v>0</v>
      </c>
      <c r="L41" t="n">
        <v>0</v>
      </c>
      <c r="N41" t="inlineStr">
        <is>
          <t>FFFFFF</t>
        </is>
      </c>
      <c r="O41" t="inlineStr">
        <is>
          <t>L</t>
        </is>
      </c>
      <c r="Q41" t="n">
        <v>3</v>
      </c>
      <c r="R41" t="b">
        <v>1</v>
      </c>
      <c r="S41" t="inlineStr">
        <is>
          <t xml:space="preserve"> </t>
        </is>
      </c>
      <c r="T41" t="n">
        <v>0</v>
      </c>
    </row>
    <row r="42">
      <c r="A42" t="inlineStr">
        <is>
          <t>Demographics and health equity blurb</t>
        </is>
      </c>
      <c r="B42" t="n">
        <v>3</v>
      </c>
      <c r="C42" t="inlineStr">
        <is>
          <t>T</t>
        </is>
      </c>
      <c r="D42" t="n">
        <v>14</v>
      </c>
      <c r="E42" t="n">
        <v>167</v>
      </c>
      <c r="F42" t="n">
        <v>196</v>
      </c>
      <c r="G42" t="n">
        <v>172</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Environmental disaster context</t>
        </is>
      </c>
      <c r="B43" t="n">
        <v>3</v>
      </c>
      <c r="C43" t="inlineStr">
        <is>
          <t>T</t>
        </is>
      </c>
      <c r="D43" t="n">
        <v>14</v>
      </c>
      <c r="E43" t="n">
        <v>200</v>
      </c>
      <c r="F43" t="n">
        <v>196</v>
      </c>
      <c r="G43" t="n">
        <v>205</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Environmental disaster context blurb</t>
        </is>
      </c>
      <c r="B44" t="n">
        <v>3</v>
      </c>
      <c r="C44" t="inlineStr">
        <is>
          <t>T</t>
        </is>
      </c>
      <c r="D44" t="n">
        <v>14</v>
      </c>
      <c r="E44" t="n">
        <v>209</v>
      </c>
      <c r="F44" t="n">
        <v>196</v>
      </c>
      <c r="G44" t="n">
        <v>214</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Study region</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xml:space="preserve"> </t>
        </is>
      </c>
      <c r="T45" t="n">
        <v>0</v>
      </c>
    </row>
    <row r="46">
      <c r="A46" t="inlineStr">
        <is>
          <t>study_region_context_caption</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study_region_context</t>
        </is>
      </c>
      <c r="B47" t="n">
        <v>4</v>
      </c>
      <c r="C47" t="inlineStr">
        <is>
          <t>I</t>
        </is>
      </c>
      <c r="D47" t="n">
        <v>15</v>
      </c>
      <c r="E47" t="n">
        <v>55</v>
      </c>
      <c r="F47" t="n">
        <v>196</v>
      </c>
      <c r="G47" t="n">
        <v>190</v>
      </c>
      <c r="I47" t="n">
        <v>0</v>
      </c>
      <c r="J47" t="n">
        <v>0</v>
      </c>
      <c r="K47" t="n">
        <v>0</v>
      </c>
      <c r="L47" t="n">
        <v>0</v>
      </c>
      <c r="N47" t="inlineStr">
        <is>
          <t>FFFFFF</t>
        </is>
      </c>
      <c r="O47" t="inlineStr">
        <is>
          <t>L</t>
        </is>
      </c>
      <c r="Q47" t="n">
        <v>2</v>
      </c>
      <c r="R47" t="b">
        <v>0</v>
      </c>
      <c r="S47" t="inlineStr">
        <is>
          <t xml:space="preserve"> </t>
        </is>
      </c>
      <c r="T47" t="n">
        <v>0</v>
      </c>
    </row>
    <row r="48">
      <c r="A48" t="inlineStr">
        <is>
          <t>legend_box</t>
        </is>
      </c>
      <c r="B48" t="n">
        <v>-999</v>
      </c>
      <c r="C48" t="inlineStr">
        <is>
          <t>B</t>
        </is>
      </c>
      <c r="D48" t="n">
        <v>40</v>
      </c>
      <c r="E48" t="n">
        <v>200</v>
      </c>
      <c r="F48" t="n">
        <v>170</v>
      </c>
      <c r="G48" t="n">
        <v>240</v>
      </c>
      <c r="I48" t="n">
        <v>0</v>
      </c>
      <c r="J48" t="n">
        <v>1</v>
      </c>
      <c r="K48" t="n">
        <v>0</v>
      </c>
      <c r="L48" t="n">
        <v>0</v>
      </c>
      <c r="N48" t="inlineStr">
        <is>
          <t>1a595a</t>
        </is>
      </c>
      <c r="O48" t="inlineStr">
        <is>
          <t>L</t>
        </is>
      </c>
      <c r="Q48" t="n">
        <v>0</v>
      </c>
      <c r="R48" t="b">
        <v>0</v>
      </c>
      <c r="S48" t="inlineStr">
        <is>
          <t xml:space="preserve">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xml:space="preserve">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xml:space="preserve">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xml:space="preserve">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policy indicators</t>
        </is>
      </c>
      <c r="B56" t="n">
        <v>5</v>
      </c>
      <c r="C56" t="inlineStr">
        <is>
          <t>T</t>
        </is>
      </c>
      <c r="D56" t="n">
        <v>14</v>
      </c>
      <c r="E56" t="n">
        <v>20</v>
      </c>
      <c r="F56" t="n">
        <v>196</v>
      </c>
      <c r="G56" t="n">
        <v>25</v>
      </c>
      <c r="H56" t="inlineStr">
        <is>
          <t>custom</t>
        </is>
      </c>
      <c r="I56" t="n">
        <v>14</v>
      </c>
      <c r="J56" t="n">
        <v>1</v>
      </c>
      <c r="K56" t="n">
        <v>0</v>
      </c>
      <c r="L56" t="n">
        <v>0</v>
      </c>
      <c r="N56" t="inlineStr">
        <is>
          <t>FFFFFF</t>
        </is>
      </c>
      <c r="O56" t="inlineStr">
        <is>
          <t>L</t>
        </is>
      </c>
      <c r="Q56" t="n">
        <v>3</v>
      </c>
      <c r="R56" t="b">
        <v>1</v>
      </c>
      <c r="S56" t="inlineStr">
        <is>
          <t xml:space="preserve"> </t>
        </is>
      </c>
      <c r="T56" t="n">
        <v>0</v>
      </c>
    </row>
    <row r="57">
      <c r="A57" t="inlineStr">
        <is>
          <t>policy_evaluation_text</t>
        </is>
      </c>
      <c r="B57" t="n">
        <v>5</v>
      </c>
      <c r="C57" t="inlineStr">
        <is>
          <t>T</t>
        </is>
      </c>
      <c r="D57" t="n">
        <v>14</v>
      </c>
      <c r="E57" t="n">
        <v>33</v>
      </c>
      <c r="F57" t="n">
        <v>196</v>
      </c>
      <c r="G57" t="n">
        <v>38</v>
      </c>
      <c r="H57" t="inlineStr">
        <is>
          <t>custom</t>
        </is>
      </c>
      <c r="I57" t="n">
        <v>12</v>
      </c>
      <c r="J57" t="n">
        <v>0</v>
      </c>
      <c r="K57" t="n">
        <v>0</v>
      </c>
      <c r="L57" t="n">
        <v>0</v>
      </c>
      <c r="N57" t="inlineStr">
        <is>
          <t>FFFFFF</t>
        </is>
      </c>
      <c r="O57" t="inlineStr">
        <is>
          <t>L</t>
        </is>
      </c>
      <c r="Q57" t="n">
        <v>3</v>
      </c>
      <c r="R57" t="b">
        <v>1</v>
      </c>
      <c r="S57" t="inlineStr">
        <is>
          <t xml:space="preserve"> </t>
        </is>
      </c>
      <c r="T57" t="n">
        <v>0</v>
      </c>
    </row>
    <row r="58">
      <c r="A58" t="inlineStr">
        <is>
          <t>presence box</t>
        </is>
      </c>
      <c r="B58" t="n">
        <v>5</v>
      </c>
      <c r="C58" t="inlineStr">
        <is>
          <t>B</t>
        </is>
      </c>
      <c r="D58" t="n">
        <v>30</v>
      </c>
      <c r="E58" t="n">
        <v>85</v>
      </c>
      <c r="F58" t="n">
        <v>170</v>
      </c>
      <c r="G58" t="n">
        <v>152</v>
      </c>
      <c r="I58" t="n">
        <v>0</v>
      </c>
      <c r="J58" t="n">
        <v>1</v>
      </c>
      <c r="K58" t="n">
        <v>0</v>
      </c>
      <c r="L58" t="n">
        <v>0</v>
      </c>
      <c r="M58" t="inlineStr">
        <is>
          <t>eceaf8</t>
        </is>
      </c>
      <c r="N58" t="inlineStr">
        <is>
          <t>eceaf8</t>
        </is>
      </c>
      <c r="O58" t="inlineStr">
        <is>
          <t>L</t>
        </is>
      </c>
      <c r="Q58" t="n">
        <v>1</v>
      </c>
      <c r="R58" t="b">
        <v>0</v>
      </c>
      <c r="S58" t="inlineStr">
        <is>
          <t xml:space="preserve"> </t>
        </is>
      </c>
      <c r="T58" t="n">
        <v>0</v>
      </c>
    </row>
    <row r="59">
      <c r="A59" t="inlineStr">
        <is>
          <t>presence_text</t>
        </is>
      </c>
      <c r="B59" t="n">
        <v>5</v>
      </c>
      <c r="C59" t="inlineStr">
        <is>
          <t>T</t>
        </is>
      </c>
      <c r="D59" t="n">
        <v>40</v>
      </c>
      <c r="E59" t="n">
        <v>93</v>
      </c>
      <c r="F59" t="n">
        <v>160</v>
      </c>
      <c r="G59" t="n">
        <v>98</v>
      </c>
      <c r="H59" t="inlineStr">
        <is>
          <t>custom</t>
        </is>
      </c>
      <c r="I59" t="n">
        <v>16</v>
      </c>
      <c r="J59" t="n">
        <v>1</v>
      </c>
      <c r="K59" t="n">
        <v>0</v>
      </c>
      <c r="L59" t="n">
        <v>0</v>
      </c>
      <c r="N59" t="inlineStr">
        <is>
          <t>eceaf8</t>
        </is>
      </c>
      <c r="O59" t="inlineStr">
        <is>
          <t>C</t>
        </is>
      </c>
      <c r="Q59" t="n">
        <v>3</v>
      </c>
      <c r="R59" t="b">
        <v>1</v>
      </c>
      <c r="S59" t="inlineStr">
        <is>
          <t xml:space="preserve"> </t>
        </is>
      </c>
      <c r="T59" t="n">
        <v>0</v>
      </c>
    </row>
    <row r="60">
      <c r="A60" t="inlineStr">
        <is>
          <t>presence_description</t>
        </is>
      </c>
      <c r="B60" t="n">
        <v>5</v>
      </c>
      <c r="C60" t="inlineStr">
        <is>
          <t>T</t>
        </is>
      </c>
      <c r="D60" t="n">
        <v>40</v>
      </c>
      <c r="E60" t="n">
        <v>106</v>
      </c>
      <c r="F60" t="n">
        <v>160</v>
      </c>
      <c r="G60" t="n">
        <v>114</v>
      </c>
      <c r="H60" t="inlineStr">
        <is>
          <t>custom</t>
        </is>
      </c>
      <c r="I60" t="n">
        <v>16</v>
      </c>
      <c r="J60" t="n">
        <v>0</v>
      </c>
      <c r="K60" t="n">
        <v>1</v>
      </c>
      <c r="L60" t="n">
        <v>0</v>
      </c>
      <c r="N60" t="inlineStr">
        <is>
          <t>eceaf8</t>
        </is>
      </c>
      <c r="O60" t="inlineStr">
        <is>
          <t>C</t>
        </is>
      </c>
      <c r="Q60" t="n">
        <v>2</v>
      </c>
      <c r="R60" t="b">
        <v>1</v>
      </c>
      <c r="S60" t="inlineStr">
        <is>
          <t xml:space="preserve"> </t>
        </is>
      </c>
      <c r="T60" t="n">
        <v>0</v>
      </c>
    </row>
    <row r="61">
      <c r="A61" t="inlineStr">
        <is>
          <t>presence_rating</t>
        </is>
      </c>
      <c r="B61" t="n">
        <v>5</v>
      </c>
      <c r="C61" t="inlineStr">
        <is>
          <t>T</t>
        </is>
      </c>
      <c r="D61" t="n">
        <v>40</v>
      </c>
      <c r="E61" t="n">
        <v>134</v>
      </c>
      <c r="F61" t="n">
        <v>160</v>
      </c>
      <c r="G61" t="n">
        <v>140</v>
      </c>
      <c r="H61" t="inlineStr">
        <is>
          <t>custom</t>
        </is>
      </c>
      <c r="I61" t="n">
        <v>20</v>
      </c>
      <c r="J61" t="n">
        <v>1</v>
      </c>
      <c r="K61" t="n">
        <v>0</v>
      </c>
      <c r="L61" t="n">
        <v>0</v>
      </c>
      <c r="N61" t="inlineStr">
        <is>
          <t>eceaf8</t>
        </is>
      </c>
      <c r="O61" t="inlineStr">
        <is>
          <t>C</t>
        </is>
      </c>
      <c r="P61" t="inlineStr">
        <is>
          <t xml:space="preserve">{presence}/{n} ({percent}) </t>
        </is>
      </c>
      <c r="Q61" t="n">
        <v>3</v>
      </c>
      <c r="R61" t="b">
        <v>1</v>
      </c>
      <c r="S61" t="inlineStr">
        <is>
          <t xml:space="preserve"> </t>
        </is>
      </c>
      <c r="T61" t="n">
        <v>0</v>
      </c>
    </row>
    <row r="62">
      <c r="A62" t="inlineStr">
        <is>
          <t>quality box</t>
        </is>
      </c>
      <c r="B62" t="n">
        <v>5</v>
      </c>
      <c r="C62" t="inlineStr">
        <is>
          <t>B</t>
        </is>
      </c>
      <c r="D62" t="n">
        <v>30</v>
      </c>
      <c r="E62" t="n">
        <v>182</v>
      </c>
      <c r="F62" t="n">
        <v>170</v>
      </c>
      <c r="G62" t="n">
        <v>249</v>
      </c>
      <c r="I62" t="n">
        <v>0</v>
      </c>
      <c r="J62" t="n">
        <v>1</v>
      </c>
      <c r="K62" t="n">
        <v>0</v>
      </c>
      <c r="L62" t="n">
        <v>0</v>
      </c>
      <c r="M62" t="inlineStr">
        <is>
          <t>faf0f6</t>
        </is>
      </c>
      <c r="N62" t="inlineStr">
        <is>
          <t>faf0f6</t>
        </is>
      </c>
      <c r="O62" t="inlineStr">
        <is>
          <t>L</t>
        </is>
      </c>
      <c r="Q62" t="n">
        <v>1</v>
      </c>
      <c r="R62" t="b">
        <v>0</v>
      </c>
      <c r="S62" t="inlineStr">
        <is>
          <t xml:space="preserve"> </t>
        </is>
      </c>
      <c r="T62" t="n">
        <v>0</v>
      </c>
    </row>
    <row r="63">
      <c r="A63" t="inlineStr">
        <is>
          <t>quality_text</t>
        </is>
      </c>
      <c r="B63" t="n">
        <v>5</v>
      </c>
      <c r="C63" t="inlineStr">
        <is>
          <t>T</t>
        </is>
      </c>
      <c r="D63" t="n">
        <v>40</v>
      </c>
      <c r="E63" t="n">
        <v>190</v>
      </c>
      <c r="F63" t="n">
        <v>160</v>
      </c>
      <c r="G63" t="n">
        <v>195</v>
      </c>
      <c r="H63" t="inlineStr">
        <is>
          <t>custom</t>
        </is>
      </c>
      <c r="I63" t="n">
        <v>16</v>
      </c>
      <c r="J63" t="n">
        <v>1</v>
      </c>
      <c r="K63" t="n">
        <v>0</v>
      </c>
      <c r="L63" t="n">
        <v>0</v>
      </c>
      <c r="N63" t="inlineStr">
        <is>
          <t>faf0f6</t>
        </is>
      </c>
      <c r="O63" t="inlineStr">
        <is>
          <t>C</t>
        </is>
      </c>
      <c r="Q63" t="n">
        <v>3</v>
      </c>
      <c r="R63" t="b">
        <v>1</v>
      </c>
      <c r="S63" t="inlineStr">
        <is>
          <t xml:space="preserve"> </t>
        </is>
      </c>
      <c r="T63" t="n">
        <v>0</v>
      </c>
    </row>
    <row r="64">
      <c r="A64" t="inlineStr">
        <is>
          <t>quality_description</t>
        </is>
      </c>
      <c r="B64" t="n">
        <v>5</v>
      </c>
      <c r="C64" t="inlineStr">
        <is>
          <t>T</t>
        </is>
      </c>
      <c r="D64" t="n">
        <v>40</v>
      </c>
      <c r="E64" t="n">
        <v>203</v>
      </c>
      <c r="F64" t="n">
        <v>160</v>
      </c>
      <c r="G64" t="n">
        <v>211</v>
      </c>
      <c r="H64" t="inlineStr">
        <is>
          <t>custom</t>
        </is>
      </c>
      <c r="I64" t="n">
        <v>16</v>
      </c>
      <c r="J64" t="n">
        <v>0</v>
      </c>
      <c r="K64" t="n">
        <v>1</v>
      </c>
      <c r="L64" t="n">
        <v>0</v>
      </c>
      <c r="N64" t="inlineStr">
        <is>
          <t>faf0f6</t>
        </is>
      </c>
      <c r="O64" t="inlineStr">
        <is>
          <t>C</t>
        </is>
      </c>
      <c r="Q64" t="n">
        <v>2</v>
      </c>
      <c r="R64" t="b">
        <v>1</v>
      </c>
      <c r="S64" t="inlineStr">
        <is>
          <t xml:space="preserve"> </t>
        </is>
      </c>
      <c r="T64" t="n">
        <v>0</v>
      </c>
    </row>
    <row r="65">
      <c r="A65" t="inlineStr">
        <is>
          <t>quality_rating</t>
        </is>
      </c>
      <c r="B65" t="n">
        <v>5</v>
      </c>
      <c r="C65" t="inlineStr">
        <is>
          <t>T</t>
        </is>
      </c>
      <c r="D65" t="n">
        <v>40</v>
      </c>
      <c r="E65" t="n">
        <v>231</v>
      </c>
      <c r="F65" t="n">
        <v>160</v>
      </c>
      <c r="G65" t="n">
        <v>237</v>
      </c>
      <c r="H65" t="inlineStr">
        <is>
          <t>custom</t>
        </is>
      </c>
      <c r="I65" t="n">
        <v>20</v>
      </c>
      <c r="J65" t="n">
        <v>1</v>
      </c>
      <c r="K65" t="n">
        <v>0</v>
      </c>
      <c r="L65" t="n">
        <v>0</v>
      </c>
      <c r="N65" t="inlineStr">
        <is>
          <t>faf0f6</t>
        </is>
      </c>
      <c r="O65" t="inlineStr">
        <is>
          <t>C</t>
        </is>
      </c>
      <c r="P65" t="inlineStr">
        <is>
          <t xml:space="preserve">{quality}/{n} ({percent}) </t>
        </is>
      </c>
      <c r="Q65" t="n">
        <v>3</v>
      </c>
      <c r="R65" t="b">
        <v>1</v>
      </c>
      <c r="S65" t="inlineStr">
        <is>
          <t xml:space="preserve"> </t>
        </is>
      </c>
      <c r="T65" t="n">
        <v>0</v>
      </c>
    </row>
    <row r="66">
      <c r="A66" t="inlineStr">
        <is>
          <t>25 city study box</t>
        </is>
      </c>
      <c r="B66" t="n">
        <v>6</v>
      </c>
      <c r="C66" t="inlineStr">
        <is>
          <t>B</t>
        </is>
      </c>
      <c r="D66" t="n">
        <v>14</v>
      </c>
      <c r="E66" t="n">
        <v>45</v>
      </c>
      <c r="F66" t="n">
        <v>196</v>
      </c>
      <c r="G66" t="n">
        <v>244</v>
      </c>
      <c r="I66" t="n">
        <v>0</v>
      </c>
      <c r="J66" t="n">
        <v>0</v>
      </c>
      <c r="K66" t="n">
        <v>0</v>
      </c>
      <c r="L66" t="n">
        <v>0</v>
      </c>
      <c r="N66" t="inlineStr">
        <is>
          <t>FFFFFF</t>
        </is>
      </c>
      <c r="O66" t="inlineStr">
        <is>
          <t>L</t>
        </is>
      </c>
      <c r="Q66" t="n">
        <v>1</v>
      </c>
      <c r="R66" t="b">
        <v>0</v>
      </c>
      <c r="S66" t="inlineStr">
        <is>
          <t xml:space="preserve"> </t>
        </is>
      </c>
      <c r="T66" t="n">
        <v>0</v>
      </c>
    </row>
    <row r="67">
      <c r="A67" t="inlineStr">
        <is>
          <t>25 city study header</t>
        </is>
      </c>
      <c r="B67" t="n">
        <v>6</v>
      </c>
      <c r="C67" t="inlineStr">
        <is>
          <t>T</t>
        </is>
      </c>
      <c r="D67" t="n">
        <v>20</v>
      </c>
      <c r="E67" t="n">
        <v>51</v>
      </c>
      <c r="F67" t="n">
        <v>194</v>
      </c>
      <c r="G67" t="n">
        <v>56</v>
      </c>
      <c r="H67" t="inlineStr">
        <is>
          <t>custom</t>
        </is>
      </c>
      <c r="I67" t="n">
        <v>12</v>
      </c>
      <c r="J67" t="n">
        <v>1</v>
      </c>
      <c r="K67" t="n">
        <v>0</v>
      </c>
      <c r="L67" t="n">
        <v>0</v>
      </c>
      <c r="N67" t="inlineStr">
        <is>
          <t>FFFFFF</t>
        </is>
      </c>
      <c r="O67" t="inlineStr">
        <is>
          <t>L</t>
        </is>
      </c>
      <c r="Q67" t="n">
        <v>2</v>
      </c>
      <c r="R67" t="b">
        <v>1</v>
      </c>
      <c r="S67" t="inlineStr">
        <is>
          <t xml:space="preserve"> </t>
        </is>
      </c>
      <c r="T67" t="n">
        <v>0</v>
      </c>
    </row>
    <row r="68">
      <c r="A68" t="inlineStr">
        <is>
          <t>25 city study</t>
        </is>
      </c>
      <c r="B68" t="n">
        <v>6</v>
      </c>
      <c r="C68" t="inlineStr">
        <is>
          <t>T</t>
        </is>
      </c>
      <c r="D68" t="n">
        <v>20</v>
      </c>
      <c r="E68" t="n">
        <v>64</v>
      </c>
      <c r="F68" t="n">
        <v>194</v>
      </c>
      <c r="G68" t="n">
        <v>69</v>
      </c>
      <c r="H68" t="inlineStr">
        <is>
          <t>custom</t>
        </is>
      </c>
      <c r="I68" t="n">
        <v>12</v>
      </c>
      <c r="J68" t="n">
        <v>0</v>
      </c>
      <c r="K68" t="n">
        <v>0</v>
      </c>
      <c r="L68" t="n">
        <v>0</v>
      </c>
      <c r="N68" t="inlineStr">
        <is>
          <t>FFFFFF</t>
        </is>
      </c>
      <c r="O68" t="inlineStr">
        <is>
          <t>L</t>
        </is>
      </c>
      <c r="P68" s="1" t="n"/>
      <c r="Q68" t="n">
        <v>1</v>
      </c>
      <c r="R68" t="b">
        <v>1</v>
      </c>
      <c r="S68" t="inlineStr">
        <is>
          <t xml:space="preserve"> </t>
        </is>
      </c>
      <c r="T68" t="n">
        <v>0</v>
      </c>
    </row>
    <row r="69">
      <c r="A69" t="inlineStr">
        <is>
          <t>25 global cities</t>
        </is>
      </c>
      <c r="B69" t="n">
        <v>6</v>
      </c>
      <c r="C69" t="inlineStr">
        <is>
          <t>I</t>
        </is>
      </c>
      <c r="D69" t="n">
        <v>14</v>
      </c>
      <c r="E69" t="n">
        <v>130</v>
      </c>
      <c r="F69" t="n">
        <v>196</v>
      </c>
      <c r="G69" t="n">
        <v>225</v>
      </c>
      <c r="I69" t="n">
        <v>0</v>
      </c>
      <c r="J69" t="n">
        <v>0</v>
      </c>
      <c r="K69" t="n">
        <v>0</v>
      </c>
      <c r="L69" t="n">
        <v>0</v>
      </c>
      <c r="N69" t="inlineStr">
        <is>
          <t>FFFFFF</t>
        </is>
      </c>
      <c r="O69" t="inlineStr">
        <is>
          <t>L</t>
        </is>
      </c>
      <c r="P69" s="1" t="inlineStr">
        <is>
          <t>configuration/assets/25 city global map.svg</t>
        </is>
      </c>
      <c r="Q69" t="n">
        <v>1</v>
      </c>
      <c r="R69" t="b">
        <v>1</v>
      </c>
      <c r="S69" t="inlineStr">
        <is>
          <t xml:space="preserve"> </t>
        </is>
      </c>
      <c r="T69" t="n">
        <v>0</v>
      </c>
    </row>
    <row r="70">
      <c r="A70" t="inlineStr">
        <is>
          <t>Low</t>
        </is>
      </c>
      <c r="B70" t="n">
        <v>6</v>
      </c>
      <c r="C70" t="inlineStr">
        <is>
          <t>T</t>
        </is>
      </c>
      <c r="D70" t="n">
        <v>78</v>
      </c>
      <c r="E70" t="n">
        <v>223</v>
      </c>
      <c r="F70" t="n">
        <v>102</v>
      </c>
      <c r="G70" t="n">
        <v>226</v>
      </c>
      <c r="H70" t="inlineStr">
        <is>
          <t>custom</t>
        </is>
      </c>
      <c r="I70" t="n">
        <v>8</v>
      </c>
      <c r="J70" t="n">
        <v>0</v>
      </c>
      <c r="K70" t="n">
        <v>0</v>
      </c>
      <c r="L70" t="n">
        <v>0</v>
      </c>
      <c r="M70" t="inlineStr">
        <is>
          <t>584b9f</t>
        </is>
      </c>
      <c r="O70" t="inlineStr">
        <is>
          <t>L</t>
        </is>
      </c>
      <c r="Q70" t="n">
        <v>3</v>
      </c>
      <c r="R70" t="b">
        <v>1</v>
      </c>
      <c r="T70" t="n">
        <v>0</v>
      </c>
    </row>
    <row r="71">
      <c r="A71" t="inlineStr">
        <is>
          <t>High</t>
        </is>
      </c>
      <c r="B71" t="n">
        <v>6</v>
      </c>
      <c r="C71" t="inlineStr">
        <is>
          <t>T</t>
        </is>
      </c>
      <c r="D71" t="n">
        <v>114</v>
      </c>
      <c r="E71" t="n">
        <v>223</v>
      </c>
      <c r="F71" t="n">
        <v>129</v>
      </c>
      <c r="G71" t="n">
        <v>226</v>
      </c>
      <c r="H71" t="inlineStr">
        <is>
          <t>custom</t>
        </is>
      </c>
      <c r="I71" t="n">
        <v>8</v>
      </c>
      <c r="J71" t="n">
        <v>0</v>
      </c>
      <c r="K71" t="n">
        <v>0</v>
      </c>
      <c r="L71" t="n">
        <v>0</v>
      </c>
      <c r="M71" t="inlineStr">
        <is>
          <t>584b9f</t>
        </is>
      </c>
      <c r="O71" t="inlineStr">
        <is>
          <t>R</t>
        </is>
      </c>
      <c r="Q71" t="n">
        <v>3</v>
      </c>
      <c r="R71" t="b">
        <v>1</v>
      </c>
      <c r="T71" t="n">
        <v>0</v>
      </c>
    </row>
    <row r="72">
      <c r="A72" t="inlineStr">
        <is>
          <t>Neighbourhood walkability relative to 25 cities internationally</t>
        </is>
      </c>
      <c r="B72" t="n">
        <v>6</v>
      </c>
      <c r="C72" t="inlineStr">
        <is>
          <t>T</t>
        </is>
      </c>
      <c r="D72" t="n">
        <v>66</v>
      </c>
      <c r="E72" t="n">
        <v>228</v>
      </c>
      <c r="F72" t="n">
        <v>141</v>
      </c>
      <c r="G72" t="n">
        <v>231</v>
      </c>
      <c r="H72" t="inlineStr">
        <is>
          <t>custom</t>
        </is>
      </c>
      <c r="I72" t="n">
        <v>8</v>
      </c>
      <c r="J72" t="n">
        <v>0</v>
      </c>
      <c r="K72" t="n">
        <v>1</v>
      </c>
      <c r="L72" t="n">
        <v>0</v>
      </c>
      <c r="M72" t="inlineStr">
        <is>
          <t>584b9f</t>
        </is>
      </c>
      <c r="O72" t="inlineStr">
        <is>
          <t>C</t>
        </is>
      </c>
      <c r="Q72" t="n">
        <v>3</v>
      </c>
      <c r="R72" t="b">
        <v>1</v>
      </c>
      <c r="T72" t="n">
        <v>0</v>
      </c>
    </row>
    <row r="73">
      <c r="A73" t="inlineStr">
        <is>
          <t>25 city study legend box</t>
        </is>
      </c>
      <c r="B73" t="n">
        <v>6</v>
      </c>
      <c r="C73" t="inlineStr">
        <is>
          <t>B</t>
        </is>
      </c>
      <c r="D73" t="n">
        <v>64</v>
      </c>
      <c r="E73" t="n">
        <v>214</v>
      </c>
      <c r="F73" t="n">
        <v>143</v>
      </c>
      <c r="G73" t="n">
        <v>236</v>
      </c>
      <c r="I73" t="n">
        <v>0</v>
      </c>
      <c r="J73" t="n">
        <v>0</v>
      </c>
      <c r="K73" t="n">
        <v>0</v>
      </c>
      <c r="L73" t="n">
        <v>0</v>
      </c>
      <c r="O73" t="inlineStr">
        <is>
          <t>L</t>
        </is>
      </c>
      <c r="Q73" t="n">
        <v>1</v>
      </c>
      <c r="R73" t="b">
        <v>0</v>
      </c>
      <c r="S73" t="inlineStr">
        <is>
          <t xml:space="preserve"> </t>
        </is>
      </c>
      <c r="T73" t="n">
        <v>0</v>
      </c>
    </row>
    <row r="74">
      <c r="A74" t="inlineStr">
        <is>
          <t>Integrated city planning policies for health and sustainability</t>
        </is>
      </c>
      <c r="B74" t="n">
        <v>7</v>
      </c>
      <c r="C74" t="inlineStr">
        <is>
          <t>T</t>
        </is>
      </c>
      <c r="D74" t="n">
        <v>14</v>
      </c>
      <c r="E74" t="n">
        <v>20</v>
      </c>
      <c r="F74" t="n">
        <v>196</v>
      </c>
      <c r="G74" t="n">
        <v>25</v>
      </c>
      <c r="H74" t="inlineStr">
        <is>
          <t>custom</t>
        </is>
      </c>
      <c r="I74" t="n">
        <v>14</v>
      </c>
      <c r="J74" t="n">
        <v>1</v>
      </c>
      <c r="K74" t="n">
        <v>0</v>
      </c>
      <c r="L74" t="n">
        <v>0</v>
      </c>
      <c r="N74" t="inlineStr">
        <is>
          <t>FFFFFF</t>
        </is>
      </c>
      <c r="O74" t="inlineStr">
        <is>
          <t>L</t>
        </is>
      </c>
      <c r="Q74" t="n">
        <v>3</v>
      </c>
      <c r="R74" t="b">
        <v>1</v>
      </c>
      <c r="S74" t="inlineStr">
        <is>
          <t xml:space="preserve"> </t>
        </is>
      </c>
      <c r="T74" t="n">
        <v>0</v>
      </c>
    </row>
    <row r="75">
      <c r="A75" t="inlineStr">
        <is>
          <t>Integrated city planning text</t>
        </is>
      </c>
      <c r="B75" t="n">
        <v>7</v>
      </c>
      <c r="C75" t="inlineStr">
        <is>
          <t>T</t>
        </is>
      </c>
      <c r="D75" t="n">
        <v>14</v>
      </c>
      <c r="E75" t="n">
        <v>33</v>
      </c>
      <c r="F75" t="n">
        <v>196</v>
      </c>
      <c r="G75" t="n">
        <v>38</v>
      </c>
      <c r="H75" t="inlineStr">
        <is>
          <t>custom</t>
        </is>
      </c>
      <c r="I75" t="n">
        <v>12</v>
      </c>
      <c r="J75" t="n">
        <v>0</v>
      </c>
      <c r="K75" t="n">
        <v>0</v>
      </c>
      <c r="L75" t="n">
        <v>0</v>
      </c>
      <c r="N75" t="inlineStr">
        <is>
          <t>FFFFFF</t>
        </is>
      </c>
      <c r="O75" t="inlineStr">
        <is>
          <t>L</t>
        </is>
      </c>
      <c r="Q75" t="n">
        <v>3</v>
      </c>
      <c r="R75" t="b">
        <v>1</v>
      </c>
      <c r="T75" t="n">
        <v>0</v>
      </c>
    </row>
    <row r="76">
      <c r="A76" t="inlineStr">
        <is>
          <t>policy_box_checklist1</t>
        </is>
      </c>
      <c r="B76" t="n">
        <v>7</v>
      </c>
      <c r="C76" t="inlineStr">
        <is>
          <t>B</t>
        </is>
      </c>
      <c r="D76" t="n">
        <v>0</v>
      </c>
      <c r="E76" t="n">
        <v>85</v>
      </c>
      <c r="F76" t="n">
        <v>210</v>
      </c>
      <c r="G76" t="n">
        <v>198</v>
      </c>
      <c r="I76" t="n">
        <v>0</v>
      </c>
      <c r="J76" t="n">
        <v>1</v>
      </c>
      <c r="K76" t="n">
        <v>0</v>
      </c>
      <c r="L76" t="n">
        <v>0</v>
      </c>
      <c r="M76" t="inlineStr">
        <is>
          <t>d0d8dd</t>
        </is>
      </c>
      <c r="N76" t="inlineStr">
        <is>
          <t>d0d8dd</t>
        </is>
      </c>
      <c r="O76" t="inlineStr">
        <is>
          <t>L</t>
        </is>
      </c>
      <c r="Q76" t="n">
        <v>1</v>
      </c>
      <c r="R76" t="b">
        <v>0</v>
      </c>
      <c r="S76" t="inlineStr">
        <is>
          <t xml:space="preserve"> </t>
        </is>
      </c>
      <c r="T76" t="n">
        <v>0</v>
      </c>
    </row>
    <row r="77">
      <c r="A77" t="inlineStr">
        <is>
          <t>policy_checklist1_title</t>
        </is>
      </c>
      <c r="B77" t="n">
        <v>7</v>
      </c>
      <c r="C77" t="inlineStr">
        <is>
          <t>T</t>
        </is>
      </c>
      <c r="D77" t="n">
        <v>14</v>
      </c>
      <c r="E77" t="n">
        <v>90</v>
      </c>
      <c r="F77" t="n">
        <v>196</v>
      </c>
      <c r="G77" t="n">
        <v>93</v>
      </c>
      <c r="H77" t="inlineStr">
        <is>
          <t>custom</t>
        </is>
      </c>
      <c r="I77" t="n">
        <v>12</v>
      </c>
      <c r="J77" t="n">
        <v>1</v>
      </c>
      <c r="K77" t="n">
        <v>0</v>
      </c>
      <c r="L77" t="n">
        <v>0</v>
      </c>
      <c r="N77" t="inlineStr">
        <is>
          <t>d0d8dd</t>
        </is>
      </c>
      <c r="O77" t="inlineStr">
        <is>
          <t>L</t>
        </is>
      </c>
      <c r="Q77" t="n">
        <v>3</v>
      </c>
      <c r="R77" t="b">
        <v>0</v>
      </c>
      <c r="S77" t="inlineStr">
        <is>
          <t xml:space="preserve"> </t>
        </is>
      </c>
      <c r="T77" t="n">
        <v>0</v>
      </c>
    </row>
    <row r="78">
      <c r="A78" t="inlineStr">
        <is>
          <t>policy_checklist_header1</t>
        </is>
      </c>
      <c r="B78" t="n">
        <v>7</v>
      </c>
      <c r="C78" t="inlineStr">
        <is>
          <t>T</t>
        </is>
      </c>
      <c r="D78" t="n">
        <v>113</v>
      </c>
      <c r="E78" t="n">
        <v>87</v>
      </c>
      <c r="F78" t="n">
        <v>140</v>
      </c>
      <c r="G78" t="n">
        <v>92</v>
      </c>
      <c r="H78" t="inlineStr">
        <is>
          <t>custom</t>
        </is>
      </c>
      <c r="I78" t="n">
        <v>10</v>
      </c>
      <c r="J78" t="n">
        <v>1</v>
      </c>
      <c r="K78" t="n">
        <v>0</v>
      </c>
      <c r="L78" t="n">
        <v>0</v>
      </c>
      <c r="N78" t="inlineStr">
        <is>
          <t>d0d8dd</t>
        </is>
      </c>
      <c r="O78" t="inlineStr">
        <is>
          <t>C</t>
        </is>
      </c>
      <c r="Q78" t="n">
        <v>3</v>
      </c>
      <c r="R78" t="b">
        <v>1</v>
      </c>
      <c r="S78" t="inlineStr">
        <is>
          <t xml:space="preserve"> </t>
        </is>
      </c>
      <c r="T78" t="n">
        <v>0</v>
      </c>
    </row>
    <row r="79">
      <c r="A79" t="inlineStr">
        <is>
          <t>policy_checklist_header2</t>
        </is>
      </c>
      <c r="B79" t="n">
        <v>7</v>
      </c>
      <c r="C79" t="inlineStr">
        <is>
          <t>T</t>
        </is>
      </c>
      <c r="D79" t="n">
        <v>140</v>
      </c>
      <c r="E79" t="n">
        <v>87</v>
      </c>
      <c r="F79" t="n">
        <v>169</v>
      </c>
      <c r="G79" t="n">
        <v>92</v>
      </c>
      <c r="H79" t="inlineStr">
        <is>
          <t>custom</t>
        </is>
      </c>
      <c r="I79" t="n">
        <v>10</v>
      </c>
      <c r="J79" t="n">
        <v>1</v>
      </c>
      <c r="K79" t="n">
        <v>0</v>
      </c>
      <c r="L79" t="n">
        <v>0</v>
      </c>
      <c r="N79" t="inlineStr">
        <is>
          <t>d0d8dd</t>
        </is>
      </c>
      <c r="O79" t="inlineStr">
        <is>
          <t>C</t>
        </is>
      </c>
      <c r="Q79" t="n">
        <v>3</v>
      </c>
      <c r="R79" t="b">
        <v>1</v>
      </c>
      <c r="S79" t="inlineStr">
        <is>
          <t xml:space="preserve"> </t>
        </is>
      </c>
      <c r="T79" t="n">
        <v>0</v>
      </c>
    </row>
    <row r="80">
      <c r="A80" t="inlineStr">
        <is>
          <t>policy_checklist_header3</t>
        </is>
      </c>
      <c r="B80" t="n">
        <v>7</v>
      </c>
      <c r="C80" t="inlineStr">
        <is>
          <t>T</t>
        </is>
      </c>
      <c r="D80" t="n">
        <v>168</v>
      </c>
      <c r="E80" t="n">
        <v>87</v>
      </c>
      <c r="F80" t="n">
        <v>194</v>
      </c>
      <c r="G80" t="n">
        <v>92</v>
      </c>
      <c r="H80" t="inlineStr">
        <is>
          <t>custom</t>
        </is>
      </c>
      <c r="I80" t="n">
        <v>10</v>
      </c>
      <c r="J80" t="n">
        <v>1</v>
      </c>
      <c r="K80" t="n">
        <v>0</v>
      </c>
      <c r="L80" t="n">
        <v>0</v>
      </c>
      <c r="N80" t="inlineStr">
        <is>
          <t>d0d8dd</t>
        </is>
      </c>
      <c r="O80" t="inlineStr">
        <is>
          <t>C</t>
        </is>
      </c>
      <c r="Q80" t="n">
        <v>3</v>
      </c>
      <c r="R80" t="b">
        <v>1</v>
      </c>
      <c r="S80" t="inlineStr">
        <is>
          <t xml:space="preserve"> </t>
        </is>
      </c>
      <c r="T80" t="n">
        <v>0</v>
      </c>
    </row>
    <row r="81">
      <c r="A81" t="inlineStr">
        <is>
          <t>table_vline1</t>
        </is>
      </c>
      <c r="B81" t="n">
        <v>7</v>
      </c>
      <c r="C81" t="inlineStr">
        <is>
          <t>L</t>
        </is>
      </c>
      <c r="D81" t="n">
        <v>114</v>
      </c>
      <c r="E81" t="n">
        <v>85</v>
      </c>
      <c r="F81" t="n">
        <v>114</v>
      </c>
      <c r="G81" t="n">
        <v>198</v>
      </c>
      <c r="I81" t="n">
        <v>0.5</v>
      </c>
      <c r="J81" t="n">
        <v>0</v>
      </c>
      <c r="K81" t="n">
        <v>0</v>
      </c>
      <c r="L81" t="n">
        <v>0</v>
      </c>
      <c r="M81" t="inlineStr">
        <is>
          <t>FFFFFF</t>
        </is>
      </c>
      <c r="N81" t="inlineStr">
        <is>
          <t>d0d8dd</t>
        </is>
      </c>
      <c r="O81" t="inlineStr">
        <is>
          <t>L</t>
        </is>
      </c>
      <c r="Q81" t="n">
        <v>4</v>
      </c>
      <c r="R81" t="b">
        <v>0</v>
      </c>
      <c r="S81" t="inlineStr">
        <is>
          <t xml:space="preserve"> </t>
        </is>
      </c>
      <c r="T81" t="n">
        <v>0</v>
      </c>
    </row>
    <row r="82">
      <c r="A82" t="inlineStr">
        <is>
          <t>table_vline2</t>
        </is>
      </c>
      <c r="B82" t="n">
        <v>7</v>
      </c>
      <c r="C82" t="inlineStr">
        <is>
          <t>L</t>
        </is>
      </c>
      <c r="D82" t="n">
        <v>141</v>
      </c>
      <c r="E82" t="n">
        <v>85</v>
      </c>
      <c r="F82" t="n">
        <v>141</v>
      </c>
      <c r="G82" t="n">
        <v>198</v>
      </c>
      <c r="I82" t="n">
        <v>0.5</v>
      </c>
      <c r="J82" t="n">
        <v>0</v>
      </c>
      <c r="K82" t="n">
        <v>0</v>
      </c>
      <c r="L82" t="n">
        <v>0</v>
      </c>
      <c r="M82" t="inlineStr">
        <is>
          <t>FFFFFF</t>
        </is>
      </c>
      <c r="N82" t="inlineStr">
        <is>
          <t>d0d8dd</t>
        </is>
      </c>
      <c r="O82" t="inlineStr">
        <is>
          <t>L</t>
        </is>
      </c>
      <c r="Q82" t="n">
        <v>4</v>
      </c>
      <c r="R82" t="b">
        <v>0</v>
      </c>
      <c r="S82" t="inlineStr">
        <is>
          <t xml:space="preserve"> </t>
        </is>
      </c>
      <c r="T82" t="n">
        <v>0</v>
      </c>
    </row>
    <row r="83">
      <c r="A83" t="inlineStr">
        <is>
          <t>table_vline3</t>
        </is>
      </c>
      <c r="B83" t="n">
        <v>7</v>
      </c>
      <c r="C83" t="inlineStr">
        <is>
          <t>L</t>
        </is>
      </c>
      <c r="D83" t="n">
        <v>168</v>
      </c>
      <c r="E83" t="n">
        <v>85</v>
      </c>
      <c r="F83" t="n">
        <v>168</v>
      </c>
      <c r="G83" t="n">
        <v>198</v>
      </c>
      <c r="I83" t="n">
        <v>0.5</v>
      </c>
      <c r="J83" t="n">
        <v>0</v>
      </c>
      <c r="K83" t="n">
        <v>0</v>
      </c>
      <c r="L83" t="n">
        <v>0</v>
      </c>
      <c r="M83" t="inlineStr">
        <is>
          <t>FFFFFF</t>
        </is>
      </c>
      <c r="N83" t="inlineStr">
        <is>
          <t>d0d8dd</t>
        </is>
      </c>
      <c r="O83" t="inlineStr">
        <is>
          <t>L</t>
        </is>
      </c>
      <c r="Q83" t="n">
        <v>4</v>
      </c>
      <c r="R83" t="b">
        <v>0</v>
      </c>
      <c r="S83" t="inlineStr">
        <is>
          <t xml:space="preserve"> </t>
        </is>
      </c>
      <c r="T83" t="n">
        <v>0</v>
      </c>
    </row>
    <row r="84">
      <c r="A84" t="inlineStr">
        <is>
          <t>table_hline_mid</t>
        </is>
      </c>
      <c r="B84" t="n">
        <v>7</v>
      </c>
      <c r="C84" t="inlineStr">
        <is>
          <t>L</t>
        </is>
      </c>
      <c r="D84" t="n">
        <v>14</v>
      </c>
      <c r="E84" t="n">
        <v>112</v>
      </c>
      <c r="F84" t="n">
        <v>196</v>
      </c>
      <c r="G84" t="n">
        <v>112</v>
      </c>
      <c r="I84" t="n">
        <v>0.5</v>
      </c>
      <c r="J84" t="n">
        <v>0</v>
      </c>
      <c r="K84" t="n">
        <v>0</v>
      </c>
      <c r="L84" t="n">
        <v>0</v>
      </c>
      <c r="M84" t="inlineStr">
        <is>
          <t>FFFFFF</t>
        </is>
      </c>
      <c r="N84" t="inlineStr">
        <is>
          <t>d0d8dd</t>
        </is>
      </c>
      <c r="O84" t="inlineStr">
        <is>
          <t>L</t>
        </is>
      </c>
      <c r="Q84" t="n">
        <v>4</v>
      </c>
      <c r="R84" t="b">
        <v>0</v>
      </c>
      <c r="S84" t="inlineStr">
        <is>
          <t xml:space="preserve"> </t>
        </is>
      </c>
      <c r="T84" t="n">
        <v>0</v>
      </c>
    </row>
    <row r="85">
      <c r="A85" t="inlineStr">
        <is>
          <t>Policy key</t>
        </is>
      </c>
      <c r="B85" t="n">
        <v>7</v>
      </c>
      <c r="C85" t="inlineStr">
        <is>
          <t>T</t>
        </is>
      </c>
      <c r="D85" t="n">
        <v>114</v>
      </c>
      <c r="E85" t="n">
        <v>200</v>
      </c>
      <c r="F85" t="n">
        <v>196</v>
      </c>
      <c r="G85" t="n">
        <v>204</v>
      </c>
      <c r="H85" t="inlineStr">
        <is>
          <t>custom</t>
        </is>
      </c>
      <c r="I85" t="n">
        <v>10</v>
      </c>
      <c r="J85" t="n">
        <v>0</v>
      </c>
      <c r="K85" t="n">
        <v>0</v>
      </c>
      <c r="L85" t="n">
        <v>0</v>
      </c>
      <c r="N85" t="inlineStr">
        <is>
          <t>FFFFFF</t>
        </is>
      </c>
      <c r="O85" t="inlineStr">
        <is>
          <t>R</t>
        </is>
      </c>
      <c r="Q85" t="n">
        <v>2</v>
      </c>
      <c r="R85" t="b">
        <v>0</v>
      </c>
      <c r="S85" t="inlineStr">
        <is>
          <t xml:space="preserve"> </t>
        </is>
      </c>
      <c r="T85" t="n">
        <v>0</v>
      </c>
    </row>
    <row r="86">
      <c r="A86" t="inlineStr">
        <is>
          <t>policy_checklist1_text1</t>
        </is>
      </c>
      <c r="B86" t="n">
        <v>7</v>
      </c>
      <c r="C86" t="inlineStr">
        <is>
          <t>T</t>
        </is>
      </c>
      <c r="D86" t="n">
        <v>14</v>
      </c>
      <c r="E86" t="n">
        <v>114</v>
      </c>
      <c r="F86" t="n">
        <v>112</v>
      </c>
      <c r="G86" t="n">
        <v>119</v>
      </c>
      <c r="H86" t="inlineStr">
        <is>
          <t>custom</t>
        </is>
      </c>
      <c r="I86" t="n">
        <v>12</v>
      </c>
      <c r="J86" t="n">
        <v>0</v>
      </c>
      <c r="K86" t="n">
        <v>0</v>
      </c>
      <c r="L86" t="n">
        <v>0</v>
      </c>
      <c r="N86" t="inlineStr">
        <is>
          <t>d0d8dd</t>
        </is>
      </c>
      <c r="O86" t="inlineStr">
        <is>
          <t>L</t>
        </is>
      </c>
      <c r="Q86" t="n">
        <v>3</v>
      </c>
      <c r="R86" t="b">
        <v>1</v>
      </c>
      <c r="S86" t="inlineStr">
        <is>
          <t xml:space="preserve"> </t>
        </is>
      </c>
      <c r="T86" t="n">
        <v>0</v>
      </c>
    </row>
    <row r="87">
      <c r="A87" t="inlineStr">
        <is>
          <t>policy_checklist1_text1_response1</t>
        </is>
      </c>
      <c r="B87" t="n">
        <v>7</v>
      </c>
      <c r="C87" t="inlineStr">
        <is>
          <t>T</t>
        </is>
      </c>
      <c r="D87" t="n">
        <v>113</v>
      </c>
      <c r="E87" t="n">
        <v>115</v>
      </c>
      <c r="F87" t="n">
        <v>140</v>
      </c>
      <c r="G87" t="n">
        <v>118</v>
      </c>
      <c r="H87" t="inlineStr">
        <is>
          <t>dejavu</t>
        </is>
      </c>
      <c r="I87" t="n">
        <v>16</v>
      </c>
      <c r="J87" t="n">
        <v>1</v>
      </c>
      <c r="K87" t="n">
        <v>0</v>
      </c>
      <c r="L87" t="n">
        <v>0</v>
      </c>
      <c r="N87" t="inlineStr">
        <is>
          <t>d0d8dd</t>
        </is>
      </c>
      <c r="O87" t="inlineStr">
        <is>
          <t>C</t>
        </is>
      </c>
      <c r="Q87" t="n">
        <v>2</v>
      </c>
      <c r="R87" t="b">
        <v>0</v>
      </c>
      <c r="S87" t="inlineStr">
        <is>
          <t xml:space="preserve"> </t>
        </is>
      </c>
      <c r="T87" t="n">
        <v>0</v>
      </c>
    </row>
    <row r="88">
      <c r="A88" t="inlineStr">
        <is>
          <t>policy_checklist1_text1_response2</t>
        </is>
      </c>
      <c r="B88" t="n">
        <v>7</v>
      </c>
      <c r="C88" t="inlineStr">
        <is>
          <t>T</t>
        </is>
      </c>
      <c r="D88" t="n">
        <v>140</v>
      </c>
      <c r="E88" t="n">
        <v>115</v>
      </c>
      <c r="F88" t="n">
        <v>169</v>
      </c>
      <c r="G88" t="n">
        <v>118</v>
      </c>
      <c r="H88" t="inlineStr">
        <is>
          <t>dejavu</t>
        </is>
      </c>
      <c r="I88" t="n">
        <v>16</v>
      </c>
      <c r="J88" t="n">
        <v>1</v>
      </c>
      <c r="K88" t="n">
        <v>0</v>
      </c>
      <c r="L88" t="n">
        <v>0</v>
      </c>
      <c r="N88" t="inlineStr">
        <is>
          <t>d0d8dd</t>
        </is>
      </c>
      <c r="O88" t="inlineStr">
        <is>
          <t>C</t>
        </is>
      </c>
      <c r="Q88" t="n">
        <v>2</v>
      </c>
      <c r="R88" t="b">
        <v>0</v>
      </c>
      <c r="S88" t="inlineStr">
        <is>
          <t xml:space="preserve"> </t>
        </is>
      </c>
      <c r="T88" t="n">
        <v>0</v>
      </c>
    </row>
    <row r="89">
      <c r="A89" t="inlineStr">
        <is>
          <t>policy_checklist1_text1_response3</t>
        </is>
      </c>
      <c r="B89" t="n">
        <v>7</v>
      </c>
      <c r="C89" t="inlineStr">
        <is>
          <t>T</t>
        </is>
      </c>
      <c r="D89" t="n">
        <v>168</v>
      </c>
      <c r="E89" t="n">
        <v>115</v>
      </c>
      <c r="F89" t="n">
        <v>194</v>
      </c>
      <c r="G89" t="n">
        <v>118</v>
      </c>
      <c r="H89" t="inlineStr">
        <is>
          <t>dejavu</t>
        </is>
      </c>
      <c r="I89" t="n">
        <v>16</v>
      </c>
      <c r="J89" t="n">
        <v>1</v>
      </c>
      <c r="K89" t="n">
        <v>0</v>
      </c>
      <c r="L89" t="n">
        <v>0</v>
      </c>
      <c r="N89" t="inlineStr">
        <is>
          <t>d0d8dd</t>
        </is>
      </c>
      <c r="O89" t="inlineStr">
        <is>
          <t>C</t>
        </is>
      </c>
      <c r="Q89" t="n">
        <v>2</v>
      </c>
      <c r="R89" t="b">
        <v>0</v>
      </c>
      <c r="S89" t="inlineStr">
        <is>
          <t xml:space="preserve"> </t>
        </is>
      </c>
      <c r="T89" t="n">
        <v>0</v>
      </c>
    </row>
    <row r="90">
      <c r="A90" t="inlineStr">
        <is>
          <t>policy_checklist1_text2</t>
        </is>
      </c>
      <c r="B90" t="n">
        <v>7</v>
      </c>
      <c r="C90" t="inlineStr">
        <is>
          <t>T</t>
        </is>
      </c>
      <c r="D90" t="n">
        <v>14</v>
      </c>
      <c r="E90" t="n">
        <v>130</v>
      </c>
      <c r="F90" t="n">
        <v>112</v>
      </c>
      <c r="G90" t="n">
        <v>135</v>
      </c>
      <c r="H90" t="inlineStr">
        <is>
          <t>custom</t>
        </is>
      </c>
      <c r="I90" t="n">
        <v>12</v>
      </c>
      <c r="J90" t="n">
        <v>0</v>
      </c>
      <c r="K90" t="n">
        <v>0</v>
      </c>
      <c r="L90" t="n">
        <v>0</v>
      </c>
      <c r="N90" t="inlineStr">
        <is>
          <t>d0d8dd</t>
        </is>
      </c>
      <c r="O90" t="inlineStr">
        <is>
          <t>L</t>
        </is>
      </c>
      <c r="Q90" t="n">
        <v>3</v>
      </c>
      <c r="R90" t="b">
        <v>1</v>
      </c>
      <c r="S90" t="inlineStr">
        <is>
          <t xml:space="preserve"> </t>
        </is>
      </c>
      <c r="T90" t="n">
        <v>0</v>
      </c>
    </row>
    <row r="91">
      <c r="A91" t="inlineStr">
        <is>
          <t>policy_checklist1_text2_response1</t>
        </is>
      </c>
      <c r="B91" t="n">
        <v>7</v>
      </c>
      <c r="C91" t="inlineStr">
        <is>
          <t>T</t>
        </is>
      </c>
      <c r="D91" t="n">
        <v>113</v>
      </c>
      <c r="E91" t="n">
        <v>131</v>
      </c>
      <c r="F91" t="n">
        <v>140</v>
      </c>
      <c r="G91" t="n">
        <v>134</v>
      </c>
      <c r="H91" t="inlineStr">
        <is>
          <t>dejavu</t>
        </is>
      </c>
      <c r="I91" t="n">
        <v>16</v>
      </c>
      <c r="J91" t="n">
        <v>1</v>
      </c>
      <c r="K91" t="n">
        <v>0</v>
      </c>
      <c r="L91" t="n">
        <v>0</v>
      </c>
      <c r="N91" t="inlineStr">
        <is>
          <t>d0d8dd</t>
        </is>
      </c>
      <c r="O91" t="inlineStr">
        <is>
          <t>C</t>
        </is>
      </c>
      <c r="Q91" t="n">
        <v>2</v>
      </c>
      <c r="R91" t="b">
        <v>0</v>
      </c>
      <c r="S91" t="inlineStr">
        <is>
          <t xml:space="preserve"> </t>
        </is>
      </c>
      <c r="T91" t="n">
        <v>0</v>
      </c>
    </row>
    <row r="92">
      <c r="A92" t="inlineStr">
        <is>
          <t>policy_checklist1_text2_response2</t>
        </is>
      </c>
      <c r="B92" t="n">
        <v>7</v>
      </c>
      <c r="C92" t="inlineStr">
        <is>
          <t>T</t>
        </is>
      </c>
      <c r="D92" t="n">
        <v>140</v>
      </c>
      <c r="E92" t="n">
        <v>131</v>
      </c>
      <c r="F92" t="n">
        <v>169</v>
      </c>
      <c r="G92" t="n">
        <v>134</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policy_checklist1_text2_response3</t>
        </is>
      </c>
      <c r="B93" t="n">
        <v>7</v>
      </c>
      <c r="C93" t="inlineStr">
        <is>
          <t>T</t>
        </is>
      </c>
      <c r="D93" t="n">
        <v>168</v>
      </c>
      <c r="E93" t="n">
        <v>131</v>
      </c>
      <c r="F93" t="n">
        <v>194</v>
      </c>
      <c r="G93" t="n">
        <v>134</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policy_checklist1_text3</t>
        </is>
      </c>
      <c r="B94" t="n">
        <v>7</v>
      </c>
      <c r="C94" t="inlineStr">
        <is>
          <t>T</t>
        </is>
      </c>
      <c r="D94" t="n">
        <v>14</v>
      </c>
      <c r="E94" t="n">
        <v>146</v>
      </c>
      <c r="F94" t="n">
        <v>112</v>
      </c>
      <c r="G94" t="n">
        <v>151</v>
      </c>
      <c r="H94" t="inlineStr">
        <is>
          <t>custom</t>
        </is>
      </c>
      <c r="I94" t="n">
        <v>12</v>
      </c>
      <c r="J94" t="n">
        <v>0</v>
      </c>
      <c r="K94" t="n">
        <v>0</v>
      </c>
      <c r="L94" t="n">
        <v>0</v>
      </c>
      <c r="N94" t="inlineStr">
        <is>
          <t>d0d8dd</t>
        </is>
      </c>
      <c r="O94" t="inlineStr">
        <is>
          <t>L</t>
        </is>
      </c>
      <c r="Q94" t="n">
        <v>3</v>
      </c>
      <c r="R94" t="b">
        <v>1</v>
      </c>
      <c r="S94" t="inlineStr">
        <is>
          <t xml:space="preserve"> </t>
        </is>
      </c>
      <c r="T94" t="n">
        <v>0</v>
      </c>
    </row>
    <row r="95">
      <c r="A95" t="inlineStr">
        <is>
          <t>policy_checklist1_text3_response1</t>
        </is>
      </c>
      <c r="B95" t="n">
        <v>7</v>
      </c>
      <c r="C95" t="inlineStr">
        <is>
          <t>T</t>
        </is>
      </c>
      <c r="D95" t="n">
        <v>113</v>
      </c>
      <c r="E95" t="n">
        <v>147</v>
      </c>
      <c r="F95" t="n">
        <v>140</v>
      </c>
      <c r="G95" t="n">
        <v>150</v>
      </c>
      <c r="H95" t="inlineStr">
        <is>
          <t>dejavu</t>
        </is>
      </c>
      <c r="I95" t="n">
        <v>16</v>
      </c>
      <c r="J95" t="n">
        <v>1</v>
      </c>
      <c r="K95" t="n">
        <v>0</v>
      </c>
      <c r="L95" t="n">
        <v>0</v>
      </c>
      <c r="N95" t="inlineStr">
        <is>
          <t>d0d8dd</t>
        </is>
      </c>
      <c r="O95" t="inlineStr">
        <is>
          <t>C</t>
        </is>
      </c>
      <c r="Q95" t="n">
        <v>2</v>
      </c>
      <c r="R95" t="b">
        <v>0</v>
      </c>
      <c r="S95" t="inlineStr">
        <is>
          <t xml:space="preserve"> </t>
        </is>
      </c>
      <c r="T95" t="n">
        <v>0</v>
      </c>
    </row>
    <row r="96">
      <c r="A96" t="inlineStr">
        <is>
          <t>policy_checklist1_text3_response2</t>
        </is>
      </c>
      <c r="B96" t="n">
        <v>7</v>
      </c>
      <c r="C96" t="inlineStr">
        <is>
          <t>T</t>
        </is>
      </c>
      <c r="D96" t="n">
        <v>140</v>
      </c>
      <c r="E96" t="n">
        <v>147</v>
      </c>
      <c r="F96" t="n">
        <v>169</v>
      </c>
      <c r="G96" t="n">
        <v>150</v>
      </c>
      <c r="H96" t="inlineStr">
        <is>
          <t>dejavu</t>
        </is>
      </c>
      <c r="I96" t="n">
        <v>16</v>
      </c>
      <c r="J96" t="n">
        <v>1</v>
      </c>
      <c r="K96" t="n">
        <v>0</v>
      </c>
      <c r="L96" t="n">
        <v>0</v>
      </c>
      <c r="N96" t="inlineStr">
        <is>
          <t>d0d8dd</t>
        </is>
      </c>
      <c r="O96" t="inlineStr">
        <is>
          <t>C</t>
        </is>
      </c>
      <c r="Q96" t="n">
        <v>2</v>
      </c>
      <c r="R96" t="b">
        <v>0</v>
      </c>
      <c r="S96" t="inlineStr">
        <is>
          <t xml:space="preserve"> </t>
        </is>
      </c>
      <c r="T96" t="n">
        <v>0</v>
      </c>
    </row>
    <row r="97">
      <c r="A97" t="inlineStr">
        <is>
          <t>policy_checklist1_text3_response3</t>
        </is>
      </c>
      <c r="B97" t="n">
        <v>7</v>
      </c>
      <c r="C97" t="inlineStr">
        <is>
          <t>T</t>
        </is>
      </c>
      <c r="D97" t="n">
        <v>168</v>
      </c>
      <c r="E97" t="n">
        <v>147</v>
      </c>
      <c r="F97" t="n">
        <v>194</v>
      </c>
      <c r="G97" t="n">
        <v>150</v>
      </c>
      <c r="H97" t="inlineStr">
        <is>
          <t>dejavu</t>
        </is>
      </c>
      <c r="I97" t="n">
        <v>16</v>
      </c>
      <c r="J97" t="n">
        <v>1</v>
      </c>
      <c r="K97" t="n">
        <v>0</v>
      </c>
      <c r="L97" t="n">
        <v>0</v>
      </c>
      <c r="N97" t="inlineStr">
        <is>
          <t>d0d8dd</t>
        </is>
      </c>
      <c r="O97" t="inlineStr">
        <is>
          <t>C</t>
        </is>
      </c>
      <c r="Q97" t="n">
        <v>2</v>
      </c>
      <c r="R97" t="b">
        <v>0</v>
      </c>
      <c r="S97" t="inlineStr">
        <is>
          <t xml:space="preserve"> </t>
        </is>
      </c>
      <c r="T97" t="n">
        <v>0</v>
      </c>
    </row>
    <row r="98">
      <c r="A98" t="inlineStr">
        <is>
          <t>policy_checklist1_text4</t>
        </is>
      </c>
      <c r="B98" t="n">
        <v>7</v>
      </c>
      <c r="C98" t="inlineStr">
        <is>
          <t>T</t>
        </is>
      </c>
      <c r="D98" t="n">
        <v>14</v>
      </c>
      <c r="E98" t="n">
        <v>162</v>
      </c>
      <c r="F98" t="n">
        <v>112</v>
      </c>
      <c r="G98" t="n">
        <v>167</v>
      </c>
      <c r="H98" t="inlineStr">
        <is>
          <t>custom</t>
        </is>
      </c>
      <c r="I98" t="n">
        <v>12</v>
      </c>
      <c r="J98" t="n">
        <v>0</v>
      </c>
      <c r="K98" t="n">
        <v>0</v>
      </c>
      <c r="L98" t="n">
        <v>0</v>
      </c>
      <c r="N98" t="inlineStr">
        <is>
          <t>d0d8dd</t>
        </is>
      </c>
      <c r="O98" t="inlineStr">
        <is>
          <t>L</t>
        </is>
      </c>
      <c r="Q98" t="n">
        <v>3</v>
      </c>
      <c r="R98" t="b">
        <v>1</v>
      </c>
      <c r="S98" t="inlineStr">
        <is>
          <t xml:space="preserve"> </t>
        </is>
      </c>
      <c r="T98" t="n">
        <v>0</v>
      </c>
    </row>
    <row r="99">
      <c r="A99" t="inlineStr">
        <is>
          <t>policy_checklist1_text4_response1</t>
        </is>
      </c>
      <c r="B99" t="n">
        <v>7</v>
      </c>
      <c r="C99" t="inlineStr">
        <is>
          <t>T</t>
        </is>
      </c>
      <c r="D99" t="n">
        <v>113</v>
      </c>
      <c r="E99" t="n">
        <v>163</v>
      </c>
      <c r="F99" t="n">
        <v>140</v>
      </c>
      <c r="G99" t="n">
        <v>166</v>
      </c>
      <c r="H99" t="inlineStr">
        <is>
          <t>dejavu</t>
        </is>
      </c>
      <c r="I99" t="n">
        <v>16</v>
      </c>
      <c r="J99" t="n">
        <v>1</v>
      </c>
      <c r="K99" t="n">
        <v>0</v>
      </c>
      <c r="L99" t="n">
        <v>0</v>
      </c>
      <c r="N99" t="inlineStr">
        <is>
          <t>d0d8dd</t>
        </is>
      </c>
      <c r="O99" t="inlineStr">
        <is>
          <t>C</t>
        </is>
      </c>
      <c r="Q99" t="n">
        <v>2</v>
      </c>
      <c r="R99" t="b">
        <v>0</v>
      </c>
      <c r="S99" t="inlineStr">
        <is>
          <t xml:space="preserve"> </t>
        </is>
      </c>
      <c r="T99" t="n">
        <v>0</v>
      </c>
    </row>
    <row r="100">
      <c r="A100" t="inlineStr">
        <is>
          <t>policy_checklist1_text4_response2</t>
        </is>
      </c>
      <c r="B100" t="n">
        <v>7</v>
      </c>
      <c r="C100" t="inlineStr">
        <is>
          <t>T</t>
        </is>
      </c>
      <c r="D100" t="n">
        <v>140</v>
      </c>
      <c r="E100" t="n">
        <v>163</v>
      </c>
      <c r="F100" t="n">
        <v>169</v>
      </c>
      <c r="G100" t="n">
        <v>166</v>
      </c>
      <c r="H100" t="inlineStr">
        <is>
          <t>dejavu</t>
        </is>
      </c>
      <c r="I100" t="n">
        <v>16</v>
      </c>
      <c r="J100" t="n">
        <v>1</v>
      </c>
      <c r="K100" t="n">
        <v>0</v>
      </c>
      <c r="L100" t="n">
        <v>0</v>
      </c>
      <c r="N100" t="inlineStr">
        <is>
          <t>d0d8dd</t>
        </is>
      </c>
      <c r="O100" t="inlineStr">
        <is>
          <t>C</t>
        </is>
      </c>
      <c r="Q100" t="n">
        <v>2</v>
      </c>
      <c r="R100" t="b">
        <v>0</v>
      </c>
      <c r="S100" t="inlineStr">
        <is>
          <t xml:space="preserve"> </t>
        </is>
      </c>
      <c r="T100" t="n">
        <v>0</v>
      </c>
    </row>
    <row r="101">
      <c r="A101" t="inlineStr">
        <is>
          <t>policy_checklist1_text4_response3</t>
        </is>
      </c>
      <c r="B101" t="n">
        <v>7</v>
      </c>
      <c r="C101" t="inlineStr">
        <is>
          <t>T</t>
        </is>
      </c>
      <c r="D101" t="n">
        <v>168</v>
      </c>
      <c r="E101" t="n">
        <v>163</v>
      </c>
      <c r="F101" t="n">
        <v>194</v>
      </c>
      <c r="G101" t="n">
        <v>166</v>
      </c>
      <c r="H101" t="inlineStr">
        <is>
          <t>dejavu</t>
        </is>
      </c>
      <c r="I101" t="n">
        <v>16</v>
      </c>
      <c r="J101" t="n">
        <v>1</v>
      </c>
      <c r="K101" t="n">
        <v>0</v>
      </c>
      <c r="L101" t="n">
        <v>0</v>
      </c>
      <c r="N101" t="inlineStr">
        <is>
          <t>d0d8dd</t>
        </is>
      </c>
      <c r="O101" t="inlineStr">
        <is>
          <t>C</t>
        </is>
      </c>
      <c r="Q101" t="n">
        <v>2</v>
      </c>
      <c r="R101" t="b">
        <v>0</v>
      </c>
      <c r="S101" t="inlineStr">
        <is>
          <t xml:space="preserve"> </t>
        </is>
      </c>
      <c r="T101" t="n">
        <v>0</v>
      </c>
    </row>
    <row r="102">
      <c r="A102" t="inlineStr">
        <is>
          <t>policy_checklist1_text5</t>
        </is>
      </c>
      <c r="B102" t="n">
        <v>7</v>
      </c>
      <c r="C102" t="inlineStr">
        <is>
          <t>T</t>
        </is>
      </c>
      <c r="D102" t="n">
        <v>14</v>
      </c>
      <c r="E102" t="n">
        <v>178</v>
      </c>
      <c r="F102" t="n">
        <v>112</v>
      </c>
      <c r="G102" t="n">
        <v>183</v>
      </c>
      <c r="H102" t="inlineStr">
        <is>
          <t>custom</t>
        </is>
      </c>
      <c r="I102" t="n">
        <v>12</v>
      </c>
      <c r="J102" t="n">
        <v>0</v>
      </c>
      <c r="K102" t="n">
        <v>0</v>
      </c>
      <c r="L102" t="n">
        <v>0</v>
      </c>
      <c r="N102" t="inlineStr">
        <is>
          <t>d0d8dd</t>
        </is>
      </c>
      <c r="O102" t="inlineStr">
        <is>
          <t>L</t>
        </is>
      </c>
      <c r="Q102" t="n">
        <v>3</v>
      </c>
      <c r="R102" t="b">
        <v>1</v>
      </c>
      <c r="S102" t="inlineStr">
        <is>
          <t xml:space="preserve"> </t>
        </is>
      </c>
      <c r="T102" t="n">
        <v>0</v>
      </c>
    </row>
    <row r="103">
      <c r="A103" t="inlineStr">
        <is>
          <t>policy_checklist1_text5_response1</t>
        </is>
      </c>
      <c r="B103" t="n">
        <v>7</v>
      </c>
      <c r="C103" t="inlineStr">
        <is>
          <t>T</t>
        </is>
      </c>
      <c r="D103" t="n">
        <v>113</v>
      </c>
      <c r="E103" t="n">
        <v>179</v>
      </c>
      <c r="F103" t="n">
        <v>140</v>
      </c>
      <c r="G103" t="n">
        <v>182</v>
      </c>
      <c r="H103" t="inlineStr">
        <is>
          <t>dejavu</t>
        </is>
      </c>
      <c r="I103" t="n">
        <v>16</v>
      </c>
      <c r="J103" t="n">
        <v>1</v>
      </c>
      <c r="K103" t="n">
        <v>0</v>
      </c>
      <c r="L103" t="n">
        <v>0</v>
      </c>
      <c r="N103" t="inlineStr">
        <is>
          <t>d0d8dd</t>
        </is>
      </c>
      <c r="O103" t="inlineStr">
        <is>
          <t>C</t>
        </is>
      </c>
      <c r="Q103" t="n">
        <v>2</v>
      </c>
      <c r="R103" t="b">
        <v>0</v>
      </c>
      <c r="S103" t="inlineStr">
        <is>
          <t xml:space="preserve"> </t>
        </is>
      </c>
      <c r="T103" t="n">
        <v>0</v>
      </c>
    </row>
    <row r="104">
      <c r="A104" t="inlineStr">
        <is>
          <t>policy_checklist1_text5_response2</t>
        </is>
      </c>
      <c r="B104" t="n">
        <v>7</v>
      </c>
      <c r="C104" t="inlineStr">
        <is>
          <t>T</t>
        </is>
      </c>
      <c r="D104" t="n">
        <v>140</v>
      </c>
      <c r="E104" t="n">
        <v>179</v>
      </c>
      <c r="F104" t="n">
        <v>169</v>
      </c>
      <c r="G104" t="n">
        <v>182</v>
      </c>
      <c r="H104" t="inlineStr">
        <is>
          <t>dejavu</t>
        </is>
      </c>
      <c r="I104" t="n">
        <v>16</v>
      </c>
      <c r="J104" t="n">
        <v>1</v>
      </c>
      <c r="K104" t="n">
        <v>0</v>
      </c>
      <c r="L104" t="n">
        <v>0</v>
      </c>
      <c r="N104" t="inlineStr">
        <is>
          <t>d0d8dd</t>
        </is>
      </c>
      <c r="O104" t="inlineStr">
        <is>
          <t>C</t>
        </is>
      </c>
      <c r="Q104" t="n">
        <v>2</v>
      </c>
      <c r="R104" t="b">
        <v>0</v>
      </c>
      <c r="S104" t="inlineStr">
        <is>
          <t xml:space="preserve"> </t>
        </is>
      </c>
      <c r="T104" t="n">
        <v>0</v>
      </c>
    </row>
    <row r="105">
      <c r="A105" t="inlineStr">
        <is>
          <t>policy_checklist1_text5_response3</t>
        </is>
      </c>
      <c r="B105" t="n">
        <v>7</v>
      </c>
      <c r="C105" t="inlineStr">
        <is>
          <t>T</t>
        </is>
      </c>
      <c r="D105" t="n">
        <v>168</v>
      </c>
      <c r="E105" t="n">
        <v>179</v>
      </c>
      <c r="F105" t="n">
        <v>194</v>
      </c>
      <c r="G105" t="n">
        <v>182</v>
      </c>
      <c r="H105" t="inlineStr">
        <is>
          <t>dejavu</t>
        </is>
      </c>
      <c r="I105" t="n">
        <v>16</v>
      </c>
      <c r="J105" t="n">
        <v>1</v>
      </c>
      <c r="K105" t="n">
        <v>0</v>
      </c>
      <c r="L105" t="n">
        <v>0</v>
      </c>
      <c r="N105" t="inlineStr">
        <is>
          <t>d0d8dd</t>
        </is>
      </c>
      <c r="O105" t="inlineStr">
        <is>
          <t>C</t>
        </is>
      </c>
      <c r="Q105" t="n">
        <v>2</v>
      </c>
      <c r="R105" t="b">
        <v>0</v>
      </c>
      <c r="S105" t="inlineStr">
        <is>
          <t xml:space="preserve"> </t>
        </is>
      </c>
      <c r="T105" t="n">
        <v>0</v>
      </c>
    </row>
    <row r="106">
      <c r="A106" t="inlineStr">
        <is>
          <t>relative neighbourhood walkability</t>
        </is>
      </c>
      <c r="B106" t="n">
        <v>-999</v>
      </c>
      <c r="C106" t="inlineStr">
        <is>
          <t>T</t>
        </is>
      </c>
      <c r="D106" t="n">
        <v>127</v>
      </c>
      <c r="E106" t="n">
        <v>13</v>
      </c>
      <c r="F106" t="n">
        <v>205</v>
      </c>
      <c r="G106" t="n">
        <v>18</v>
      </c>
      <c r="H106" t="inlineStr">
        <is>
          <t>custom</t>
        </is>
      </c>
      <c r="I106" t="n">
        <v>14</v>
      </c>
      <c r="J106" t="n">
        <v>1</v>
      </c>
      <c r="K106" t="n">
        <v>0</v>
      </c>
      <c r="L106" t="n">
        <v>0</v>
      </c>
      <c r="N106" t="inlineStr">
        <is>
          <t>FFFFFF</t>
        </is>
      </c>
      <c r="O106" t="inlineStr">
        <is>
          <t>L</t>
        </is>
      </c>
      <c r="Q106" t="n">
        <v>2</v>
      </c>
      <c r="R106" t="b">
        <v>1</v>
      </c>
      <c r="S106" t="inlineStr">
        <is>
          <t xml:space="preserve"> </t>
        </is>
      </c>
      <c r="T106" t="n">
        <v>0</v>
      </c>
    </row>
    <row r="107">
      <c r="A107" t="inlineStr">
        <is>
          <t>walkability_header</t>
        </is>
      </c>
      <c r="B107" t="n">
        <v>7</v>
      </c>
      <c r="C107" t="inlineStr">
        <is>
          <t>T</t>
        </is>
      </c>
      <c r="D107" t="n">
        <v>14</v>
      </c>
      <c r="E107" t="n">
        <v>215</v>
      </c>
      <c r="F107" t="n">
        <v>196</v>
      </c>
      <c r="G107" t="n">
        <v>220</v>
      </c>
      <c r="H107" t="inlineStr">
        <is>
          <t>custom</t>
        </is>
      </c>
      <c r="I107" t="n">
        <v>14</v>
      </c>
      <c r="J107" t="n">
        <v>1</v>
      </c>
      <c r="K107" t="n">
        <v>0</v>
      </c>
      <c r="L107" t="n">
        <v>0</v>
      </c>
      <c r="N107" t="inlineStr">
        <is>
          <t>FFFFFF</t>
        </is>
      </c>
      <c r="O107" t="inlineStr">
        <is>
          <t>L</t>
        </is>
      </c>
      <c r="Q107" t="n">
        <v>3</v>
      </c>
      <c r="R107" t="b">
        <v>1</v>
      </c>
      <c r="S107" t="inlineStr">
        <is>
          <t xml:space="preserve"> </t>
        </is>
      </c>
      <c r="T107" t="n">
        <v>0</v>
      </c>
    </row>
    <row r="108">
      <c r="A108" t="inlineStr">
        <is>
          <t>walkability_description</t>
        </is>
      </c>
      <c r="B108" t="n">
        <v>7</v>
      </c>
      <c r="C108" t="inlineStr">
        <is>
          <t>T</t>
        </is>
      </c>
      <c r="D108" t="n">
        <v>14</v>
      </c>
      <c r="E108" t="n">
        <v>228</v>
      </c>
      <c r="F108" t="n">
        <v>196</v>
      </c>
      <c r="G108" t="n">
        <v>233</v>
      </c>
      <c r="H108" t="inlineStr">
        <is>
          <t>custom</t>
        </is>
      </c>
      <c r="I108" t="n">
        <v>12</v>
      </c>
      <c r="J108" t="n">
        <v>0</v>
      </c>
      <c r="K108" t="n">
        <v>0</v>
      </c>
      <c r="L108" t="n">
        <v>0</v>
      </c>
      <c r="N108" t="inlineStr">
        <is>
          <t>FFFFFF</t>
        </is>
      </c>
      <c r="O108" t="inlineStr">
        <is>
          <t>L</t>
        </is>
      </c>
      <c r="P108" s="1" t="n"/>
      <c r="Q108" t="n">
        <v>1</v>
      </c>
      <c r="R108" t="b">
        <v>1</v>
      </c>
      <c r="S108" t="inlineStr">
        <is>
          <t xml:space="preserve"> </t>
        </is>
      </c>
      <c r="T108" t="n">
        <v>0</v>
      </c>
    </row>
    <row r="109">
      <c r="A109" t="inlineStr">
        <is>
          <t>policy_box_checklist2</t>
        </is>
      </c>
      <c r="B109" t="n">
        <v>8</v>
      </c>
      <c r="C109" t="inlineStr">
        <is>
          <t>B</t>
        </is>
      </c>
      <c r="D109" t="n">
        <v>0</v>
      </c>
      <c r="E109" t="n">
        <v>30</v>
      </c>
      <c r="F109" t="n">
        <v>210</v>
      </c>
      <c r="G109" t="n">
        <v>267</v>
      </c>
      <c r="I109" t="n">
        <v>0</v>
      </c>
      <c r="J109" t="n">
        <v>1</v>
      </c>
      <c r="K109" t="n">
        <v>0</v>
      </c>
      <c r="L109" t="n">
        <v>0</v>
      </c>
      <c r="M109" t="inlineStr">
        <is>
          <t>eceaf8</t>
        </is>
      </c>
      <c r="N109" t="inlineStr">
        <is>
          <t>d0d8dd</t>
        </is>
      </c>
      <c r="O109" t="inlineStr">
        <is>
          <t>L</t>
        </is>
      </c>
      <c r="Q109" t="n">
        <v>2</v>
      </c>
      <c r="R109" t="b">
        <v>0</v>
      </c>
      <c r="S109" t="inlineStr">
        <is>
          <t xml:space="preserve"> </t>
        </is>
      </c>
      <c r="T109" t="n">
        <v>0</v>
      </c>
    </row>
    <row r="110">
      <c r="A110" t="inlineStr">
        <is>
          <t>policy_checklist2_title</t>
        </is>
      </c>
      <c r="B110" t="n">
        <v>8</v>
      </c>
      <c r="C110" t="inlineStr">
        <is>
          <t>T</t>
        </is>
      </c>
      <c r="D110" t="n">
        <v>14</v>
      </c>
      <c r="E110" t="n">
        <v>20</v>
      </c>
      <c r="F110" t="n">
        <v>196</v>
      </c>
      <c r="G110" t="n">
        <v>25</v>
      </c>
      <c r="H110" t="inlineStr">
        <is>
          <t>custom</t>
        </is>
      </c>
      <c r="I110" t="n">
        <v>12</v>
      </c>
      <c r="J110" t="n">
        <v>1</v>
      </c>
      <c r="K110" t="n">
        <v>0</v>
      </c>
      <c r="L110" t="n">
        <v>0</v>
      </c>
      <c r="N110" t="inlineStr">
        <is>
          <t>FFFFFF</t>
        </is>
      </c>
      <c r="O110" t="inlineStr">
        <is>
          <t>L</t>
        </is>
      </c>
      <c r="Q110" t="n">
        <v>3</v>
      </c>
      <c r="R110" t="b">
        <v>1</v>
      </c>
      <c r="S110" t="inlineStr">
        <is>
          <t xml:space="preserve"> </t>
        </is>
      </c>
      <c r="T110" t="n">
        <v>0</v>
      </c>
    </row>
    <row r="111">
      <c r="A111" t="inlineStr">
        <is>
          <t>policy_checklist_header1</t>
        </is>
      </c>
      <c r="B111" t="n">
        <v>8</v>
      </c>
      <c r="C111" t="inlineStr">
        <is>
          <t>T</t>
        </is>
      </c>
      <c r="D111" t="n">
        <v>113</v>
      </c>
      <c r="E111" t="n">
        <v>32</v>
      </c>
      <c r="F111" t="n">
        <v>140</v>
      </c>
      <c r="G111" t="n">
        <v>37</v>
      </c>
      <c r="H111" t="inlineStr">
        <is>
          <t>custom</t>
        </is>
      </c>
      <c r="I111" t="n">
        <v>10</v>
      </c>
      <c r="J111" t="n">
        <v>1</v>
      </c>
      <c r="K111" t="n">
        <v>0</v>
      </c>
      <c r="L111" t="n">
        <v>0</v>
      </c>
      <c r="N111" t="inlineStr">
        <is>
          <t>d0d8dd</t>
        </is>
      </c>
      <c r="O111" t="inlineStr">
        <is>
          <t>C</t>
        </is>
      </c>
      <c r="Q111" t="n">
        <v>3</v>
      </c>
      <c r="R111" t="b">
        <v>1</v>
      </c>
      <c r="S111" t="inlineStr">
        <is>
          <t xml:space="preserve"> </t>
        </is>
      </c>
      <c r="T111" t="n">
        <v>0</v>
      </c>
    </row>
    <row r="112">
      <c r="A112" t="inlineStr">
        <is>
          <t>policy_checklist_header2</t>
        </is>
      </c>
      <c r="B112" t="n">
        <v>8</v>
      </c>
      <c r="C112" t="inlineStr">
        <is>
          <t>T</t>
        </is>
      </c>
      <c r="D112" t="n">
        <v>140</v>
      </c>
      <c r="E112" t="n">
        <v>32</v>
      </c>
      <c r="F112" t="n">
        <v>169</v>
      </c>
      <c r="G112" t="n">
        <v>37</v>
      </c>
      <c r="H112" t="inlineStr">
        <is>
          <t>custom</t>
        </is>
      </c>
      <c r="I112" t="n">
        <v>10</v>
      </c>
      <c r="J112" t="n">
        <v>1</v>
      </c>
      <c r="K112" t="n">
        <v>0</v>
      </c>
      <c r="L112" t="n">
        <v>0</v>
      </c>
      <c r="N112" t="inlineStr">
        <is>
          <t>d0d8dd</t>
        </is>
      </c>
      <c r="O112" t="inlineStr">
        <is>
          <t>C</t>
        </is>
      </c>
      <c r="Q112" t="n">
        <v>3</v>
      </c>
      <c r="R112" t="b">
        <v>1</v>
      </c>
      <c r="S112" t="inlineStr">
        <is>
          <t xml:space="preserve"> </t>
        </is>
      </c>
      <c r="T112" t="n">
        <v>0</v>
      </c>
    </row>
    <row r="113">
      <c r="A113" t="inlineStr">
        <is>
          <t>policy_checklist_header3</t>
        </is>
      </c>
      <c r="B113" t="n">
        <v>8</v>
      </c>
      <c r="C113" t="inlineStr">
        <is>
          <t>T</t>
        </is>
      </c>
      <c r="D113" t="n">
        <v>168</v>
      </c>
      <c r="E113" t="n">
        <v>32</v>
      </c>
      <c r="F113" t="n">
        <v>194</v>
      </c>
      <c r="G113" t="n">
        <v>37</v>
      </c>
      <c r="H113" t="inlineStr">
        <is>
          <t>custom</t>
        </is>
      </c>
      <c r="I113" t="n">
        <v>10</v>
      </c>
      <c r="J113" t="n">
        <v>1</v>
      </c>
      <c r="K113" t="n">
        <v>0</v>
      </c>
      <c r="L113" t="n">
        <v>0</v>
      </c>
      <c r="N113" t="inlineStr">
        <is>
          <t>d0d8dd</t>
        </is>
      </c>
      <c r="O113" t="inlineStr">
        <is>
          <t>C</t>
        </is>
      </c>
      <c r="Q113" t="n">
        <v>3</v>
      </c>
      <c r="R113" t="b">
        <v>1</v>
      </c>
      <c r="S113" t="inlineStr">
        <is>
          <t xml:space="preserve"> </t>
        </is>
      </c>
      <c r="T113" t="n">
        <v>0</v>
      </c>
    </row>
    <row r="114">
      <c r="A114" t="inlineStr">
        <is>
          <t>table_vline1</t>
        </is>
      </c>
      <c r="B114" t="n">
        <v>8</v>
      </c>
      <c r="C114" t="inlineStr">
        <is>
          <t>L</t>
        </is>
      </c>
      <c r="D114" t="n">
        <v>114</v>
      </c>
      <c r="E114" t="n">
        <v>30</v>
      </c>
      <c r="F114" t="n">
        <v>114</v>
      </c>
      <c r="G114" t="n">
        <v>267</v>
      </c>
      <c r="I114" t="n">
        <v>0.5</v>
      </c>
      <c r="J114" t="n">
        <v>0</v>
      </c>
      <c r="K114" t="n">
        <v>0</v>
      </c>
      <c r="L114" t="n">
        <v>0</v>
      </c>
      <c r="M114" t="inlineStr">
        <is>
          <t>FFFFFF</t>
        </is>
      </c>
      <c r="N114" t="inlineStr">
        <is>
          <t>d0d8dd</t>
        </is>
      </c>
      <c r="O114" t="inlineStr">
        <is>
          <t>L</t>
        </is>
      </c>
      <c r="Q114" t="n">
        <v>4</v>
      </c>
      <c r="R114" t="b">
        <v>0</v>
      </c>
      <c r="S114" t="inlineStr">
        <is>
          <t xml:space="preserve"> </t>
        </is>
      </c>
      <c r="T114" t="n">
        <v>0</v>
      </c>
    </row>
    <row r="115">
      <c r="A115" t="inlineStr">
        <is>
          <t>table_vline2</t>
        </is>
      </c>
      <c r="B115" t="n">
        <v>8</v>
      </c>
      <c r="C115" t="inlineStr">
        <is>
          <t>L</t>
        </is>
      </c>
      <c r="D115" t="n">
        <v>141</v>
      </c>
      <c r="E115" t="n">
        <v>30</v>
      </c>
      <c r="F115" t="n">
        <v>141</v>
      </c>
      <c r="G115" t="n">
        <v>267</v>
      </c>
      <c r="I115" t="n">
        <v>0.5</v>
      </c>
      <c r="J115" t="n">
        <v>0</v>
      </c>
      <c r="K115" t="n">
        <v>0</v>
      </c>
      <c r="L115" t="n">
        <v>0</v>
      </c>
      <c r="M115" t="inlineStr">
        <is>
          <t>FFFFFF</t>
        </is>
      </c>
      <c r="N115" t="inlineStr">
        <is>
          <t>d0d8dd</t>
        </is>
      </c>
      <c r="O115" t="inlineStr">
        <is>
          <t>L</t>
        </is>
      </c>
      <c r="Q115" t="n">
        <v>4</v>
      </c>
      <c r="R115" t="b">
        <v>0</v>
      </c>
      <c r="S115" t="inlineStr">
        <is>
          <t xml:space="preserve"> </t>
        </is>
      </c>
      <c r="T115" t="n">
        <v>0</v>
      </c>
    </row>
    <row r="116">
      <c r="A116" t="inlineStr">
        <is>
          <t>table_vline3</t>
        </is>
      </c>
      <c r="B116" t="n">
        <v>8</v>
      </c>
      <c r="C116" t="inlineStr">
        <is>
          <t>L</t>
        </is>
      </c>
      <c r="D116" t="n">
        <v>168</v>
      </c>
      <c r="E116" t="n">
        <v>30</v>
      </c>
      <c r="F116" t="n">
        <v>168</v>
      </c>
      <c r="G116" t="n">
        <v>267</v>
      </c>
      <c r="I116" t="n">
        <v>0.5</v>
      </c>
      <c r="J116" t="n">
        <v>0</v>
      </c>
      <c r="K116" t="n">
        <v>0</v>
      </c>
      <c r="L116" t="n">
        <v>0</v>
      </c>
      <c r="M116" t="inlineStr">
        <is>
          <t>FFFFFF</t>
        </is>
      </c>
      <c r="N116" t="inlineStr">
        <is>
          <t>d0d8dd</t>
        </is>
      </c>
      <c r="O116" t="inlineStr">
        <is>
          <t>L</t>
        </is>
      </c>
      <c r="Q116" t="n">
        <v>4</v>
      </c>
      <c r="R116" t="b">
        <v>0</v>
      </c>
      <c r="S116" t="inlineStr">
        <is>
          <t xml:space="preserve"> </t>
        </is>
      </c>
      <c r="T116" t="n">
        <v>0</v>
      </c>
    </row>
    <row r="117">
      <c r="A117" t="inlineStr">
        <is>
          <t>table_hline_mid</t>
        </is>
      </c>
      <c r="B117" t="n">
        <v>8</v>
      </c>
      <c r="C117" t="inlineStr">
        <is>
          <t>L</t>
        </is>
      </c>
      <c r="D117" t="n">
        <v>14</v>
      </c>
      <c r="E117" t="n">
        <v>57</v>
      </c>
      <c r="F117" t="n">
        <v>196</v>
      </c>
      <c r="G117" t="n">
        <v>57</v>
      </c>
      <c r="I117" t="n">
        <v>0.5</v>
      </c>
      <c r="J117" t="n">
        <v>0</v>
      </c>
      <c r="K117" t="n">
        <v>0</v>
      </c>
      <c r="L117" t="n">
        <v>0</v>
      </c>
      <c r="M117" t="inlineStr">
        <is>
          <t>FFFFFF</t>
        </is>
      </c>
      <c r="N117" t="inlineStr">
        <is>
          <t>d0d8dd</t>
        </is>
      </c>
      <c r="O117" t="inlineStr">
        <is>
          <t>L</t>
        </is>
      </c>
      <c r="Q117" t="n">
        <v>4</v>
      </c>
      <c r="R117" t="b">
        <v>0</v>
      </c>
      <c r="S117" t="inlineStr">
        <is>
          <t xml:space="preserve"> </t>
        </is>
      </c>
      <c r="T117" t="n">
        <v>0</v>
      </c>
    </row>
    <row r="118">
      <c r="A118" t="inlineStr">
        <is>
          <t>Policy key</t>
        </is>
      </c>
      <c r="B118" t="n">
        <v>8</v>
      </c>
      <c r="C118" t="inlineStr">
        <is>
          <t>T</t>
        </is>
      </c>
      <c r="D118" t="n">
        <v>114</v>
      </c>
      <c r="E118" t="n">
        <v>269</v>
      </c>
      <c r="F118" t="n">
        <v>196</v>
      </c>
      <c r="G118" t="n">
        <v>273</v>
      </c>
      <c r="H118" t="inlineStr">
        <is>
          <t>custom</t>
        </is>
      </c>
      <c r="I118" t="n">
        <v>10</v>
      </c>
      <c r="J118" t="n">
        <v>0</v>
      </c>
      <c r="K118" t="n">
        <v>0</v>
      </c>
      <c r="L118" t="n">
        <v>0</v>
      </c>
      <c r="N118" t="inlineStr">
        <is>
          <t>FFFFFF</t>
        </is>
      </c>
      <c r="O118" t="inlineStr">
        <is>
          <t>R</t>
        </is>
      </c>
      <c r="Q118" t="n">
        <v>2</v>
      </c>
      <c r="R118" t="b">
        <v>0</v>
      </c>
      <c r="S118" t="inlineStr">
        <is>
          <t xml:space="preserve"> </t>
        </is>
      </c>
      <c r="T118" t="n">
        <v>0</v>
      </c>
    </row>
    <row r="119">
      <c r="A119" t="inlineStr">
        <is>
          <t>policy_checklist2_text1</t>
        </is>
      </c>
      <c r="B119" t="n">
        <v>8</v>
      </c>
      <c r="C119" t="inlineStr">
        <is>
          <t>T</t>
        </is>
      </c>
      <c r="D119" t="n">
        <v>14</v>
      </c>
      <c r="E119" t="n">
        <v>59</v>
      </c>
      <c r="F119" t="n">
        <v>112</v>
      </c>
      <c r="G119" t="n">
        <v>64</v>
      </c>
      <c r="H119" t="inlineStr">
        <is>
          <t>custom</t>
        </is>
      </c>
      <c r="I119" t="n">
        <v>12</v>
      </c>
      <c r="J119" t="n">
        <v>0</v>
      </c>
      <c r="K119" t="n">
        <v>0</v>
      </c>
      <c r="L119" t="n">
        <v>0</v>
      </c>
      <c r="N119" t="inlineStr">
        <is>
          <t>d0d8dd</t>
        </is>
      </c>
      <c r="O119" t="inlineStr">
        <is>
          <t>L</t>
        </is>
      </c>
      <c r="Q119" t="n">
        <v>3</v>
      </c>
      <c r="R119" t="b">
        <v>1</v>
      </c>
      <c r="S119" t="inlineStr">
        <is>
          <t xml:space="preserve"> </t>
        </is>
      </c>
      <c r="T119" t="n">
        <v>0</v>
      </c>
    </row>
    <row r="120">
      <c r="A120" t="inlineStr">
        <is>
          <t>policy_checklist2_text1_response1</t>
        </is>
      </c>
      <c r="B120" t="n">
        <v>8</v>
      </c>
      <c r="C120" t="inlineStr">
        <is>
          <t>T</t>
        </is>
      </c>
      <c r="D120" t="n">
        <v>113</v>
      </c>
      <c r="E120" t="n">
        <v>60</v>
      </c>
      <c r="F120" t="n">
        <v>140</v>
      </c>
      <c r="G120" t="n">
        <v>63</v>
      </c>
      <c r="H120" t="inlineStr">
        <is>
          <t>dejavu</t>
        </is>
      </c>
      <c r="I120" t="n">
        <v>16</v>
      </c>
      <c r="J120" t="n">
        <v>1</v>
      </c>
      <c r="K120" t="n">
        <v>0</v>
      </c>
      <c r="L120" t="n">
        <v>0</v>
      </c>
      <c r="N120" t="inlineStr">
        <is>
          <t>d0d8dd</t>
        </is>
      </c>
      <c r="O120" t="inlineStr">
        <is>
          <t>C</t>
        </is>
      </c>
      <c r="Q120" t="n">
        <v>2</v>
      </c>
      <c r="R120" t="b">
        <v>0</v>
      </c>
      <c r="S120" t="inlineStr">
        <is>
          <t xml:space="preserve"> </t>
        </is>
      </c>
      <c r="T120" t="n">
        <v>0</v>
      </c>
    </row>
    <row r="121">
      <c r="A121" t="inlineStr">
        <is>
          <t>policy_checklist2_text1_response2</t>
        </is>
      </c>
      <c r="B121" t="n">
        <v>8</v>
      </c>
      <c r="C121" t="inlineStr">
        <is>
          <t>T</t>
        </is>
      </c>
      <c r="D121" t="n">
        <v>140</v>
      </c>
      <c r="E121" t="n">
        <v>60</v>
      </c>
      <c r="F121" t="n">
        <v>169</v>
      </c>
      <c r="G121" t="n">
        <v>63</v>
      </c>
      <c r="H121" t="inlineStr">
        <is>
          <t>dejavu</t>
        </is>
      </c>
      <c r="I121" t="n">
        <v>16</v>
      </c>
      <c r="J121" t="n">
        <v>1</v>
      </c>
      <c r="K121" t="n">
        <v>0</v>
      </c>
      <c r="L121" t="n">
        <v>0</v>
      </c>
      <c r="N121" t="inlineStr">
        <is>
          <t>d0d8dd</t>
        </is>
      </c>
      <c r="O121" t="inlineStr">
        <is>
          <t>C</t>
        </is>
      </c>
      <c r="Q121" t="n">
        <v>2</v>
      </c>
      <c r="R121" t="b">
        <v>0</v>
      </c>
      <c r="S121" t="inlineStr">
        <is>
          <t xml:space="preserve"> </t>
        </is>
      </c>
      <c r="T121" t="n">
        <v>0</v>
      </c>
    </row>
    <row r="122">
      <c r="A122" t="inlineStr">
        <is>
          <t>policy_checklist2_text1_response3</t>
        </is>
      </c>
      <c r="B122" t="n">
        <v>8</v>
      </c>
      <c r="C122" t="inlineStr">
        <is>
          <t>T</t>
        </is>
      </c>
      <c r="D122" t="n">
        <v>168</v>
      </c>
      <c r="E122" t="n">
        <v>60</v>
      </c>
      <c r="F122" t="n">
        <v>194</v>
      </c>
      <c r="G122" t="n">
        <v>63</v>
      </c>
      <c r="H122" t="inlineStr">
        <is>
          <t>dejavu</t>
        </is>
      </c>
      <c r="I122" t="n">
        <v>16</v>
      </c>
      <c r="J122" t="n">
        <v>1</v>
      </c>
      <c r="K122" t="n">
        <v>0</v>
      </c>
      <c r="L122" t="n">
        <v>0</v>
      </c>
      <c r="N122" t="inlineStr">
        <is>
          <t>d0d8dd</t>
        </is>
      </c>
      <c r="O122" t="inlineStr">
        <is>
          <t>C</t>
        </is>
      </c>
      <c r="Q122" t="n">
        <v>2</v>
      </c>
      <c r="R122" t="b">
        <v>0</v>
      </c>
      <c r="S122" t="inlineStr">
        <is>
          <t xml:space="preserve"> </t>
        </is>
      </c>
      <c r="T122" t="n">
        <v>0</v>
      </c>
    </row>
    <row r="123">
      <c r="A123" t="inlineStr">
        <is>
          <t>policy_checklist2_text2</t>
        </is>
      </c>
      <c r="B123" t="n">
        <v>8</v>
      </c>
      <c r="C123" t="inlineStr">
        <is>
          <t>T</t>
        </is>
      </c>
      <c r="D123" t="n">
        <v>14</v>
      </c>
      <c r="E123" t="n">
        <v>71</v>
      </c>
      <c r="F123" t="n">
        <v>112</v>
      </c>
      <c r="G123" t="n">
        <v>76</v>
      </c>
      <c r="H123" t="inlineStr">
        <is>
          <t>custom</t>
        </is>
      </c>
      <c r="I123" t="n">
        <v>12</v>
      </c>
      <c r="J123" t="n">
        <v>0</v>
      </c>
      <c r="K123" t="n">
        <v>0</v>
      </c>
      <c r="L123" t="n">
        <v>0</v>
      </c>
      <c r="N123" t="inlineStr">
        <is>
          <t>d0d8dd</t>
        </is>
      </c>
      <c r="O123" t="inlineStr">
        <is>
          <t>L</t>
        </is>
      </c>
      <c r="Q123" t="n">
        <v>3</v>
      </c>
      <c r="R123" t="b">
        <v>1</v>
      </c>
      <c r="S123" t="inlineStr">
        <is>
          <t xml:space="preserve"> </t>
        </is>
      </c>
      <c r="T123" t="n">
        <v>0</v>
      </c>
    </row>
    <row r="124">
      <c r="A124" t="inlineStr">
        <is>
          <t>policy_checklist2_text2_response1</t>
        </is>
      </c>
      <c r="B124" t="n">
        <v>8</v>
      </c>
      <c r="C124" t="inlineStr">
        <is>
          <t>T</t>
        </is>
      </c>
      <c r="D124" t="n">
        <v>113</v>
      </c>
      <c r="E124" t="n">
        <v>72</v>
      </c>
      <c r="F124" t="n">
        <v>140</v>
      </c>
      <c r="G124" t="n">
        <v>75</v>
      </c>
      <c r="H124" t="inlineStr">
        <is>
          <t>dejavu</t>
        </is>
      </c>
      <c r="I124" t="n">
        <v>16</v>
      </c>
      <c r="J124" t="n">
        <v>1</v>
      </c>
      <c r="K124" t="n">
        <v>0</v>
      </c>
      <c r="L124" t="n">
        <v>0</v>
      </c>
      <c r="N124" t="inlineStr">
        <is>
          <t>d0d8dd</t>
        </is>
      </c>
      <c r="O124" t="inlineStr">
        <is>
          <t>C</t>
        </is>
      </c>
      <c r="Q124" t="n">
        <v>2</v>
      </c>
      <c r="R124" t="b">
        <v>0</v>
      </c>
      <c r="S124" t="inlineStr">
        <is>
          <t xml:space="preserve"> </t>
        </is>
      </c>
      <c r="T124" t="n">
        <v>0</v>
      </c>
    </row>
    <row r="125">
      <c r="A125" t="inlineStr">
        <is>
          <t>policy_checklist2_text2_response2</t>
        </is>
      </c>
      <c r="B125" t="n">
        <v>8</v>
      </c>
      <c r="C125" t="inlineStr">
        <is>
          <t>T</t>
        </is>
      </c>
      <c r="D125" t="n">
        <v>140</v>
      </c>
      <c r="E125" t="n">
        <v>72</v>
      </c>
      <c r="F125" t="n">
        <v>169</v>
      </c>
      <c r="G125" t="n">
        <v>75</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policy_checklist2_text2_response3</t>
        </is>
      </c>
      <c r="B126" t="n">
        <v>8</v>
      </c>
      <c r="C126" t="inlineStr">
        <is>
          <t>T</t>
        </is>
      </c>
      <c r="D126" t="n">
        <v>168</v>
      </c>
      <c r="E126" t="n">
        <v>72</v>
      </c>
      <c r="F126" t="n">
        <v>194</v>
      </c>
      <c r="G126" t="n">
        <v>75</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policy_checklist2_text3</t>
        </is>
      </c>
      <c r="B127" t="n">
        <v>8</v>
      </c>
      <c r="C127" t="inlineStr">
        <is>
          <t>T</t>
        </is>
      </c>
      <c r="D127" t="n">
        <v>14</v>
      </c>
      <c r="E127" t="n">
        <v>83</v>
      </c>
      <c r="F127" t="n">
        <v>112</v>
      </c>
      <c r="G127" t="n">
        <v>88</v>
      </c>
      <c r="H127" t="inlineStr">
        <is>
          <t>custom</t>
        </is>
      </c>
      <c r="I127" t="n">
        <v>12</v>
      </c>
      <c r="J127" t="n">
        <v>0</v>
      </c>
      <c r="K127" t="n">
        <v>0</v>
      </c>
      <c r="L127" t="n">
        <v>0</v>
      </c>
      <c r="N127" t="inlineStr">
        <is>
          <t>d0d8dd</t>
        </is>
      </c>
      <c r="O127" t="inlineStr">
        <is>
          <t>L</t>
        </is>
      </c>
      <c r="Q127" t="n">
        <v>3</v>
      </c>
      <c r="R127" t="b">
        <v>1</v>
      </c>
      <c r="S127" t="inlineStr">
        <is>
          <t xml:space="preserve"> </t>
        </is>
      </c>
      <c r="T127" t="n">
        <v>0</v>
      </c>
    </row>
    <row r="128">
      <c r="A128" t="inlineStr">
        <is>
          <t>policy_checklist2_text3_response1</t>
        </is>
      </c>
      <c r="B128" t="n">
        <v>8</v>
      </c>
      <c r="C128" t="inlineStr">
        <is>
          <t>T</t>
        </is>
      </c>
      <c r="D128" t="n">
        <v>113</v>
      </c>
      <c r="E128" t="n">
        <v>84</v>
      </c>
      <c r="F128" t="n">
        <v>140</v>
      </c>
      <c r="G128" t="n">
        <v>87</v>
      </c>
      <c r="H128" t="inlineStr">
        <is>
          <t>dejavu</t>
        </is>
      </c>
      <c r="I128" t="n">
        <v>16</v>
      </c>
      <c r="J128" t="n">
        <v>1</v>
      </c>
      <c r="K128" t="n">
        <v>0</v>
      </c>
      <c r="L128" t="n">
        <v>0</v>
      </c>
      <c r="N128" t="inlineStr">
        <is>
          <t>d0d8dd</t>
        </is>
      </c>
      <c r="O128" t="inlineStr">
        <is>
          <t>C</t>
        </is>
      </c>
      <c r="Q128" t="n">
        <v>2</v>
      </c>
      <c r="R128" t="b">
        <v>0</v>
      </c>
      <c r="S128" t="inlineStr">
        <is>
          <t xml:space="preserve"> </t>
        </is>
      </c>
      <c r="T128" t="n">
        <v>0</v>
      </c>
    </row>
    <row r="129">
      <c r="A129" t="inlineStr">
        <is>
          <t>policy_checklist2_text3_response2</t>
        </is>
      </c>
      <c r="B129" t="n">
        <v>8</v>
      </c>
      <c r="C129" t="inlineStr">
        <is>
          <t>T</t>
        </is>
      </c>
      <c r="D129" t="n">
        <v>140</v>
      </c>
      <c r="E129" t="n">
        <v>84</v>
      </c>
      <c r="F129" t="n">
        <v>169</v>
      </c>
      <c r="G129" t="n">
        <v>87</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policy_checklist2_text3_response3</t>
        </is>
      </c>
      <c r="B130" t="n">
        <v>8</v>
      </c>
      <c r="C130" t="inlineStr">
        <is>
          <t>T</t>
        </is>
      </c>
      <c r="D130" t="n">
        <v>168</v>
      </c>
      <c r="E130" t="n">
        <v>84</v>
      </c>
      <c r="F130" t="n">
        <v>194</v>
      </c>
      <c r="G130" t="n">
        <v>87</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policy_checklist2_text4</t>
        </is>
      </c>
      <c r="B131" t="n">
        <v>8</v>
      </c>
      <c r="C131" t="inlineStr">
        <is>
          <t>T</t>
        </is>
      </c>
      <c r="D131" t="n">
        <v>14</v>
      </c>
      <c r="E131" t="n">
        <v>95</v>
      </c>
      <c r="F131" t="n">
        <v>112</v>
      </c>
      <c r="G131" t="n">
        <v>100</v>
      </c>
      <c r="H131" t="inlineStr">
        <is>
          <t>custom</t>
        </is>
      </c>
      <c r="I131" t="n">
        <v>12</v>
      </c>
      <c r="J131" t="n">
        <v>0</v>
      </c>
      <c r="K131" t="n">
        <v>0</v>
      </c>
      <c r="L131" t="n">
        <v>0</v>
      </c>
      <c r="N131" t="inlineStr">
        <is>
          <t>d0d8dd</t>
        </is>
      </c>
      <c r="O131" t="inlineStr">
        <is>
          <t>L</t>
        </is>
      </c>
      <c r="Q131" t="n">
        <v>3</v>
      </c>
      <c r="R131" t="b">
        <v>1</v>
      </c>
      <c r="S131" t="inlineStr">
        <is>
          <t xml:space="preserve"> </t>
        </is>
      </c>
      <c r="T131" t="n">
        <v>0</v>
      </c>
    </row>
    <row r="132">
      <c r="A132" t="inlineStr">
        <is>
          <t>policy_checklist2_text4_response1</t>
        </is>
      </c>
      <c r="B132" t="n">
        <v>8</v>
      </c>
      <c r="C132" t="inlineStr">
        <is>
          <t>T</t>
        </is>
      </c>
      <c r="D132" t="n">
        <v>113</v>
      </c>
      <c r="E132" t="n">
        <v>96</v>
      </c>
      <c r="F132" t="n">
        <v>140</v>
      </c>
      <c r="G132" t="n">
        <v>99</v>
      </c>
      <c r="H132" t="inlineStr">
        <is>
          <t>dejavu</t>
        </is>
      </c>
      <c r="I132" t="n">
        <v>16</v>
      </c>
      <c r="J132" t="n">
        <v>1</v>
      </c>
      <c r="K132" t="n">
        <v>0</v>
      </c>
      <c r="L132" t="n">
        <v>0</v>
      </c>
      <c r="N132" t="inlineStr">
        <is>
          <t>d0d8dd</t>
        </is>
      </c>
      <c r="O132" t="inlineStr">
        <is>
          <t>C</t>
        </is>
      </c>
      <c r="Q132" t="n">
        <v>2</v>
      </c>
      <c r="R132" t="b">
        <v>0</v>
      </c>
      <c r="S132" t="inlineStr">
        <is>
          <t xml:space="preserve"> </t>
        </is>
      </c>
      <c r="T132" t="n">
        <v>0</v>
      </c>
    </row>
    <row r="133">
      <c r="A133" t="inlineStr">
        <is>
          <t>policy_checklist2_text4_response2</t>
        </is>
      </c>
      <c r="B133" t="n">
        <v>8</v>
      </c>
      <c r="C133" t="inlineStr">
        <is>
          <t>T</t>
        </is>
      </c>
      <c r="D133" t="n">
        <v>140</v>
      </c>
      <c r="E133" t="n">
        <v>96</v>
      </c>
      <c r="F133" t="n">
        <v>169</v>
      </c>
      <c r="G133" t="n">
        <v>99</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policy_checklist2_text4_response3</t>
        </is>
      </c>
      <c r="B134" t="n">
        <v>8</v>
      </c>
      <c r="C134" t="inlineStr">
        <is>
          <t>T</t>
        </is>
      </c>
      <c r="D134" t="n">
        <v>168</v>
      </c>
      <c r="E134" t="n">
        <v>96</v>
      </c>
      <c r="F134" t="n">
        <v>194</v>
      </c>
      <c r="G134" t="n">
        <v>99</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policy_checklist2_text5</t>
        </is>
      </c>
      <c r="B135" t="n">
        <v>8</v>
      </c>
      <c r="C135" t="inlineStr">
        <is>
          <t>T</t>
        </is>
      </c>
      <c r="D135" t="n">
        <v>14</v>
      </c>
      <c r="E135" t="n">
        <v>107</v>
      </c>
      <c r="F135" t="n">
        <v>112</v>
      </c>
      <c r="G135" t="n">
        <v>112</v>
      </c>
      <c r="H135" t="inlineStr">
        <is>
          <t>custom</t>
        </is>
      </c>
      <c r="I135" t="n">
        <v>12</v>
      </c>
      <c r="J135" t="n">
        <v>0</v>
      </c>
      <c r="K135" t="n">
        <v>0</v>
      </c>
      <c r="L135" t="n">
        <v>0</v>
      </c>
      <c r="N135" t="inlineStr">
        <is>
          <t>d0d8dd</t>
        </is>
      </c>
      <c r="O135" t="inlineStr">
        <is>
          <t>L</t>
        </is>
      </c>
      <c r="Q135" t="n">
        <v>3</v>
      </c>
      <c r="R135" t="b">
        <v>1</v>
      </c>
      <c r="S135" t="inlineStr">
        <is>
          <t xml:space="preserve"> </t>
        </is>
      </c>
      <c r="T135" t="n">
        <v>0</v>
      </c>
    </row>
    <row r="136">
      <c r="A136" t="inlineStr">
        <is>
          <t>policy_checklist2_text5_response1</t>
        </is>
      </c>
      <c r="B136" t="n">
        <v>8</v>
      </c>
      <c r="C136" t="inlineStr">
        <is>
          <t>T</t>
        </is>
      </c>
      <c r="D136" t="n">
        <v>113</v>
      </c>
      <c r="E136" t="n">
        <v>108</v>
      </c>
      <c r="F136" t="n">
        <v>140</v>
      </c>
      <c r="G136" t="n">
        <v>111</v>
      </c>
      <c r="H136" t="inlineStr">
        <is>
          <t>dejavu</t>
        </is>
      </c>
      <c r="I136" t="n">
        <v>16</v>
      </c>
      <c r="J136" t="n">
        <v>1</v>
      </c>
      <c r="K136" t="n">
        <v>0</v>
      </c>
      <c r="L136" t="n">
        <v>0</v>
      </c>
      <c r="N136" t="inlineStr">
        <is>
          <t>d0d8dd</t>
        </is>
      </c>
      <c r="O136" t="inlineStr">
        <is>
          <t>C</t>
        </is>
      </c>
      <c r="Q136" t="n">
        <v>2</v>
      </c>
      <c r="R136" t="b">
        <v>0</v>
      </c>
      <c r="S136" t="inlineStr">
        <is>
          <t xml:space="preserve"> </t>
        </is>
      </c>
      <c r="T136" t="n">
        <v>0</v>
      </c>
    </row>
    <row r="137">
      <c r="A137" t="inlineStr">
        <is>
          <t>policy_checklist2_text5_response2</t>
        </is>
      </c>
      <c r="B137" t="n">
        <v>8</v>
      </c>
      <c r="C137" t="inlineStr">
        <is>
          <t>T</t>
        </is>
      </c>
      <c r="D137" t="n">
        <v>140</v>
      </c>
      <c r="E137" t="n">
        <v>108</v>
      </c>
      <c r="F137" t="n">
        <v>169</v>
      </c>
      <c r="G137" t="n">
        <v>111</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policy_checklist2_text5_response3</t>
        </is>
      </c>
      <c r="B138" t="n">
        <v>8</v>
      </c>
      <c r="C138" t="inlineStr">
        <is>
          <t>T</t>
        </is>
      </c>
      <c r="D138" t="n">
        <v>168</v>
      </c>
      <c r="E138" t="n">
        <v>108</v>
      </c>
      <c r="F138" t="n">
        <v>194</v>
      </c>
      <c r="G138" t="n">
        <v>111</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policy_checklist2_text6</t>
        </is>
      </c>
      <c r="B139" t="n">
        <v>8</v>
      </c>
      <c r="C139" t="inlineStr">
        <is>
          <t>T</t>
        </is>
      </c>
      <c r="D139" t="n">
        <v>14</v>
      </c>
      <c r="E139" t="n">
        <v>119</v>
      </c>
      <c r="F139" t="n">
        <v>112</v>
      </c>
      <c r="G139" t="n">
        <v>124</v>
      </c>
      <c r="H139" t="inlineStr">
        <is>
          <t>custom</t>
        </is>
      </c>
      <c r="I139" t="n">
        <v>12</v>
      </c>
      <c r="J139" t="n">
        <v>0</v>
      </c>
      <c r="K139" t="n">
        <v>0</v>
      </c>
      <c r="L139" t="n">
        <v>0</v>
      </c>
      <c r="N139" t="inlineStr">
        <is>
          <t>d0d8dd</t>
        </is>
      </c>
      <c r="O139" t="inlineStr">
        <is>
          <t>L</t>
        </is>
      </c>
      <c r="Q139" t="n">
        <v>3</v>
      </c>
      <c r="R139" t="b">
        <v>1</v>
      </c>
      <c r="S139" t="inlineStr">
        <is>
          <t xml:space="preserve"> </t>
        </is>
      </c>
      <c r="T139" t="n">
        <v>0</v>
      </c>
    </row>
    <row r="140">
      <c r="A140" t="inlineStr">
        <is>
          <t>policy_checklist2_text6_response1</t>
        </is>
      </c>
      <c r="B140" t="n">
        <v>8</v>
      </c>
      <c r="C140" t="inlineStr">
        <is>
          <t>T</t>
        </is>
      </c>
      <c r="D140" t="n">
        <v>113</v>
      </c>
      <c r="E140" t="n">
        <v>120</v>
      </c>
      <c r="F140" t="n">
        <v>140</v>
      </c>
      <c r="G140" t="n">
        <v>123</v>
      </c>
      <c r="H140" t="inlineStr">
        <is>
          <t>dejavu</t>
        </is>
      </c>
      <c r="I140" t="n">
        <v>16</v>
      </c>
      <c r="J140" t="n">
        <v>1</v>
      </c>
      <c r="K140" t="n">
        <v>0</v>
      </c>
      <c r="L140" t="n">
        <v>0</v>
      </c>
      <c r="N140" t="inlineStr">
        <is>
          <t>d0d8dd</t>
        </is>
      </c>
      <c r="O140" t="inlineStr">
        <is>
          <t>C</t>
        </is>
      </c>
      <c r="Q140" t="n">
        <v>2</v>
      </c>
      <c r="R140" t="b">
        <v>0</v>
      </c>
      <c r="S140" t="inlineStr">
        <is>
          <t xml:space="preserve"> </t>
        </is>
      </c>
      <c r="T140" t="n">
        <v>0</v>
      </c>
    </row>
    <row r="141">
      <c r="A141" t="inlineStr">
        <is>
          <t>policy_checklist2_text6_response2</t>
        </is>
      </c>
      <c r="B141" t="n">
        <v>8</v>
      </c>
      <c r="C141" t="inlineStr">
        <is>
          <t>T</t>
        </is>
      </c>
      <c r="D141" t="n">
        <v>140</v>
      </c>
      <c r="E141" t="n">
        <v>120</v>
      </c>
      <c r="F141" t="n">
        <v>169</v>
      </c>
      <c r="G141" t="n">
        <v>123</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policy_checklist2_text6_response3</t>
        </is>
      </c>
      <c r="B142" t="n">
        <v>8</v>
      </c>
      <c r="C142" t="inlineStr">
        <is>
          <t>T</t>
        </is>
      </c>
      <c r="D142" t="n">
        <v>168</v>
      </c>
      <c r="E142" t="n">
        <v>120</v>
      </c>
      <c r="F142" t="n">
        <v>194</v>
      </c>
      <c r="G142" t="n">
        <v>123</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policy_checklist2_text7</t>
        </is>
      </c>
      <c r="B143" t="n">
        <v>8</v>
      </c>
      <c r="C143" t="inlineStr">
        <is>
          <t>T</t>
        </is>
      </c>
      <c r="D143" t="n">
        <v>14</v>
      </c>
      <c r="E143" t="n">
        <v>131</v>
      </c>
      <c r="F143" t="n">
        <v>112</v>
      </c>
      <c r="G143" t="n">
        <v>136</v>
      </c>
      <c r="H143" t="inlineStr">
        <is>
          <t>custom</t>
        </is>
      </c>
      <c r="I143" t="n">
        <v>12</v>
      </c>
      <c r="J143" t="n">
        <v>0</v>
      </c>
      <c r="K143" t="n">
        <v>0</v>
      </c>
      <c r="L143" t="n">
        <v>0</v>
      </c>
      <c r="N143" t="inlineStr">
        <is>
          <t>d0d8dd</t>
        </is>
      </c>
      <c r="O143" t="inlineStr">
        <is>
          <t>L</t>
        </is>
      </c>
      <c r="Q143" t="n">
        <v>3</v>
      </c>
      <c r="R143" t="b">
        <v>1</v>
      </c>
      <c r="S143" t="inlineStr">
        <is>
          <t xml:space="preserve"> </t>
        </is>
      </c>
      <c r="T143" t="n">
        <v>0</v>
      </c>
    </row>
    <row r="144">
      <c r="A144" t="inlineStr">
        <is>
          <t>policy_checklist2_text7_response1</t>
        </is>
      </c>
      <c r="B144" t="n">
        <v>8</v>
      </c>
      <c r="C144" t="inlineStr">
        <is>
          <t>T</t>
        </is>
      </c>
      <c r="D144" t="n">
        <v>113</v>
      </c>
      <c r="E144" t="n">
        <v>132</v>
      </c>
      <c r="F144" t="n">
        <v>140</v>
      </c>
      <c r="G144" t="n">
        <v>135</v>
      </c>
      <c r="H144" t="inlineStr">
        <is>
          <t>dejavu</t>
        </is>
      </c>
      <c r="I144" t="n">
        <v>16</v>
      </c>
      <c r="J144" t="n">
        <v>1</v>
      </c>
      <c r="K144" t="n">
        <v>0</v>
      </c>
      <c r="L144" t="n">
        <v>0</v>
      </c>
      <c r="N144" t="inlineStr">
        <is>
          <t>d0d8dd</t>
        </is>
      </c>
      <c r="O144" t="inlineStr">
        <is>
          <t>C</t>
        </is>
      </c>
      <c r="Q144" t="n">
        <v>2</v>
      </c>
      <c r="R144" t="b">
        <v>0</v>
      </c>
      <c r="S144" t="inlineStr">
        <is>
          <t xml:space="preserve"> </t>
        </is>
      </c>
      <c r="T144" t="n">
        <v>0</v>
      </c>
    </row>
    <row r="145">
      <c r="A145" t="inlineStr">
        <is>
          <t>policy_checklist2_text7_response2</t>
        </is>
      </c>
      <c r="B145" t="n">
        <v>8</v>
      </c>
      <c r="C145" t="inlineStr">
        <is>
          <t>T</t>
        </is>
      </c>
      <c r="D145" t="n">
        <v>140</v>
      </c>
      <c r="E145" t="n">
        <v>132</v>
      </c>
      <c r="F145" t="n">
        <v>169</v>
      </c>
      <c r="G145" t="n">
        <v>135</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policy_checklist2_text7_response3</t>
        </is>
      </c>
      <c r="B146" t="n">
        <v>8</v>
      </c>
      <c r="C146" t="inlineStr">
        <is>
          <t>T</t>
        </is>
      </c>
      <c r="D146" t="n">
        <v>168</v>
      </c>
      <c r="E146" t="n">
        <v>132</v>
      </c>
      <c r="F146" t="n">
        <v>194</v>
      </c>
      <c r="G146" t="n">
        <v>135</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policy_checklist2_text8</t>
        </is>
      </c>
      <c r="B147" t="n">
        <v>8</v>
      </c>
      <c r="C147" t="inlineStr">
        <is>
          <t>T</t>
        </is>
      </c>
      <c r="D147" t="n">
        <v>14</v>
      </c>
      <c r="E147" t="n">
        <v>143</v>
      </c>
      <c r="F147" t="n">
        <v>112</v>
      </c>
      <c r="G147" t="n">
        <v>148</v>
      </c>
      <c r="H147" t="inlineStr">
        <is>
          <t>custom</t>
        </is>
      </c>
      <c r="I147" t="n">
        <v>12</v>
      </c>
      <c r="J147" t="n">
        <v>0</v>
      </c>
      <c r="K147" t="n">
        <v>0</v>
      </c>
      <c r="L147" t="n">
        <v>0</v>
      </c>
      <c r="N147" t="inlineStr">
        <is>
          <t>d0d8dd</t>
        </is>
      </c>
      <c r="O147" t="inlineStr">
        <is>
          <t>L</t>
        </is>
      </c>
      <c r="Q147" t="n">
        <v>3</v>
      </c>
      <c r="R147" t="b">
        <v>1</v>
      </c>
      <c r="S147" t="inlineStr">
        <is>
          <t xml:space="preserve"> </t>
        </is>
      </c>
      <c r="T147" t="n">
        <v>0</v>
      </c>
    </row>
    <row r="148">
      <c r="A148" t="inlineStr">
        <is>
          <t>policy_checklist2_text8_response1</t>
        </is>
      </c>
      <c r="B148" t="n">
        <v>8</v>
      </c>
      <c r="C148" t="inlineStr">
        <is>
          <t>T</t>
        </is>
      </c>
      <c r="D148" t="n">
        <v>113</v>
      </c>
      <c r="E148" t="n">
        <v>144</v>
      </c>
      <c r="F148" t="n">
        <v>140</v>
      </c>
      <c r="G148" t="n">
        <v>147</v>
      </c>
      <c r="H148" t="inlineStr">
        <is>
          <t>dejavu</t>
        </is>
      </c>
      <c r="I148" t="n">
        <v>16</v>
      </c>
      <c r="J148" t="n">
        <v>1</v>
      </c>
      <c r="K148" t="n">
        <v>0</v>
      </c>
      <c r="L148" t="n">
        <v>0</v>
      </c>
      <c r="N148" t="inlineStr">
        <is>
          <t>d0d8dd</t>
        </is>
      </c>
      <c r="O148" t="inlineStr">
        <is>
          <t>C</t>
        </is>
      </c>
      <c r="Q148" t="n">
        <v>2</v>
      </c>
      <c r="R148" t="b">
        <v>0</v>
      </c>
      <c r="S148" t="inlineStr">
        <is>
          <t xml:space="preserve"> </t>
        </is>
      </c>
      <c r="T148" t="n">
        <v>0</v>
      </c>
    </row>
    <row r="149">
      <c r="A149" t="inlineStr">
        <is>
          <t>policy_checklist2_text8_response2</t>
        </is>
      </c>
      <c r="B149" t="n">
        <v>8</v>
      </c>
      <c r="C149" t="inlineStr">
        <is>
          <t>T</t>
        </is>
      </c>
      <c r="D149" t="n">
        <v>140</v>
      </c>
      <c r="E149" t="n">
        <v>144</v>
      </c>
      <c r="F149" t="n">
        <v>169</v>
      </c>
      <c r="G149" t="n">
        <v>147</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policy_checklist2_text8_response3</t>
        </is>
      </c>
      <c r="B150" t="n">
        <v>8</v>
      </c>
      <c r="C150" t="inlineStr">
        <is>
          <t>T</t>
        </is>
      </c>
      <c r="D150" t="n">
        <v>168</v>
      </c>
      <c r="E150" t="n">
        <v>144</v>
      </c>
      <c r="F150" t="n">
        <v>194</v>
      </c>
      <c r="G150" t="n">
        <v>147</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policy_checklist2_text9</t>
        </is>
      </c>
      <c r="B151" t="n">
        <v>8</v>
      </c>
      <c r="C151" t="inlineStr">
        <is>
          <t>T</t>
        </is>
      </c>
      <c r="D151" t="n">
        <v>14</v>
      </c>
      <c r="E151" t="n">
        <v>155</v>
      </c>
      <c r="F151" t="n">
        <v>112</v>
      </c>
      <c r="G151" t="n">
        <v>160</v>
      </c>
      <c r="H151" t="inlineStr">
        <is>
          <t>custom</t>
        </is>
      </c>
      <c r="I151" t="n">
        <v>12</v>
      </c>
      <c r="J151" t="n">
        <v>0</v>
      </c>
      <c r="K151" t="n">
        <v>0</v>
      </c>
      <c r="L151" t="n">
        <v>0</v>
      </c>
      <c r="N151" t="inlineStr">
        <is>
          <t>d0d8dd</t>
        </is>
      </c>
      <c r="O151" t="inlineStr">
        <is>
          <t>L</t>
        </is>
      </c>
      <c r="Q151" t="n">
        <v>3</v>
      </c>
      <c r="R151" t="b">
        <v>1</v>
      </c>
      <c r="S151" t="inlineStr">
        <is>
          <t xml:space="preserve"> </t>
        </is>
      </c>
      <c r="T151" t="n">
        <v>0</v>
      </c>
    </row>
    <row r="152">
      <c r="A152" t="inlineStr">
        <is>
          <t>policy_checklist2_text9_response1</t>
        </is>
      </c>
      <c r="B152" t="n">
        <v>8</v>
      </c>
      <c r="C152" t="inlineStr">
        <is>
          <t>T</t>
        </is>
      </c>
      <c r="D152" t="n">
        <v>113</v>
      </c>
      <c r="E152" t="n">
        <v>156</v>
      </c>
      <c r="F152" t="n">
        <v>140</v>
      </c>
      <c r="G152" t="n">
        <v>159</v>
      </c>
      <c r="H152" t="inlineStr">
        <is>
          <t>dejavu</t>
        </is>
      </c>
      <c r="I152" t="n">
        <v>16</v>
      </c>
      <c r="J152" t="n">
        <v>1</v>
      </c>
      <c r="K152" t="n">
        <v>0</v>
      </c>
      <c r="L152" t="n">
        <v>0</v>
      </c>
      <c r="N152" t="inlineStr">
        <is>
          <t>d0d8dd</t>
        </is>
      </c>
      <c r="O152" t="inlineStr">
        <is>
          <t>C</t>
        </is>
      </c>
      <c r="Q152" t="n">
        <v>2</v>
      </c>
      <c r="R152" t="b">
        <v>0</v>
      </c>
      <c r="S152" t="inlineStr">
        <is>
          <t xml:space="preserve"> </t>
        </is>
      </c>
      <c r="T152" t="n">
        <v>0</v>
      </c>
    </row>
    <row r="153">
      <c r="A153" t="inlineStr">
        <is>
          <t>policy_checklist2_text9_response2</t>
        </is>
      </c>
      <c r="B153" t="n">
        <v>8</v>
      </c>
      <c r="C153" t="inlineStr">
        <is>
          <t>T</t>
        </is>
      </c>
      <c r="D153" t="n">
        <v>140</v>
      </c>
      <c r="E153" t="n">
        <v>156</v>
      </c>
      <c r="F153" t="n">
        <v>169</v>
      </c>
      <c r="G153" t="n">
        <v>159</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policy_checklist2_text9_response3</t>
        </is>
      </c>
      <c r="B154" t="n">
        <v>8</v>
      </c>
      <c r="C154" t="inlineStr">
        <is>
          <t>T</t>
        </is>
      </c>
      <c r="D154" t="n">
        <v>168</v>
      </c>
      <c r="E154" t="n">
        <v>156</v>
      </c>
      <c r="F154" t="n">
        <v>194</v>
      </c>
      <c r="G154" t="n">
        <v>159</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policy_checklist2_text10</t>
        </is>
      </c>
      <c r="B155" t="n">
        <v>8</v>
      </c>
      <c r="C155" t="inlineStr">
        <is>
          <t>T</t>
        </is>
      </c>
      <c r="D155" t="n">
        <v>14</v>
      </c>
      <c r="E155" t="n">
        <v>167</v>
      </c>
      <c r="F155" t="n">
        <v>112</v>
      </c>
      <c r="G155" t="n">
        <v>172</v>
      </c>
      <c r="H155" t="inlineStr">
        <is>
          <t>custom</t>
        </is>
      </c>
      <c r="I155" t="n">
        <v>12</v>
      </c>
      <c r="J155" t="n">
        <v>0</v>
      </c>
      <c r="K155" t="n">
        <v>0</v>
      </c>
      <c r="L155" t="n">
        <v>0</v>
      </c>
      <c r="N155" t="inlineStr">
        <is>
          <t>d0d8dd</t>
        </is>
      </c>
      <c r="O155" t="inlineStr">
        <is>
          <t>L</t>
        </is>
      </c>
      <c r="Q155" t="n">
        <v>3</v>
      </c>
      <c r="R155" t="b">
        <v>1</v>
      </c>
      <c r="S155" t="inlineStr">
        <is>
          <t xml:space="preserve"> </t>
        </is>
      </c>
      <c r="T155" t="n">
        <v>0</v>
      </c>
    </row>
    <row r="156">
      <c r="A156" t="inlineStr">
        <is>
          <t>policy_checklist2_text10_response1</t>
        </is>
      </c>
      <c r="B156" t="n">
        <v>8</v>
      </c>
      <c r="C156" t="inlineStr">
        <is>
          <t>T</t>
        </is>
      </c>
      <c r="D156" t="n">
        <v>113</v>
      </c>
      <c r="E156" t="n">
        <v>168</v>
      </c>
      <c r="F156" t="n">
        <v>140</v>
      </c>
      <c r="G156" t="n">
        <v>171</v>
      </c>
      <c r="H156" t="inlineStr">
        <is>
          <t>dejavu</t>
        </is>
      </c>
      <c r="I156" t="n">
        <v>16</v>
      </c>
      <c r="J156" t="n">
        <v>1</v>
      </c>
      <c r="K156" t="n">
        <v>0</v>
      </c>
      <c r="L156" t="n">
        <v>0</v>
      </c>
      <c r="N156" t="inlineStr">
        <is>
          <t>d0d8dd</t>
        </is>
      </c>
      <c r="O156" t="inlineStr">
        <is>
          <t>C</t>
        </is>
      </c>
      <c r="Q156" t="n">
        <v>2</v>
      </c>
      <c r="R156" t="b">
        <v>0</v>
      </c>
      <c r="S156" t="inlineStr">
        <is>
          <t xml:space="preserve"> </t>
        </is>
      </c>
      <c r="T156" t="n">
        <v>0</v>
      </c>
    </row>
    <row r="157">
      <c r="A157" t="inlineStr">
        <is>
          <t>policy_checklist2_text10_response2</t>
        </is>
      </c>
      <c r="B157" t="n">
        <v>8</v>
      </c>
      <c r="C157" t="inlineStr">
        <is>
          <t>T</t>
        </is>
      </c>
      <c r="D157" t="n">
        <v>140</v>
      </c>
      <c r="E157" t="n">
        <v>168</v>
      </c>
      <c r="F157" t="n">
        <v>169</v>
      </c>
      <c r="G157" t="n">
        <v>171</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policy_checklist2_text10_response3</t>
        </is>
      </c>
      <c r="B158" t="n">
        <v>8</v>
      </c>
      <c r="C158" t="inlineStr">
        <is>
          <t>T</t>
        </is>
      </c>
      <c r="D158" t="n">
        <v>168</v>
      </c>
      <c r="E158" t="n">
        <v>168</v>
      </c>
      <c r="F158" t="n">
        <v>194</v>
      </c>
      <c r="G158" t="n">
        <v>171</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policy_checklist2_text11</t>
        </is>
      </c>
      <c r="B159" t="n">
        <v>8</v>
      </c>
      <c r="C159" t="inlineStr">
        <is>
          <t>T</t>
        </is>
      </c>
      <c r="D159" t="n">
        <v>14</v>
      </c>
      <c r="E159" t="n">
        <v>179</v>
      </c>
      <c r="F159" t="n">
        <v>112</v>
      </c>
      <c r="G159" t="n">
        <v>184</v>
      </c>
      <c r="H159" t="inlineStr">
        <is>
          <t>custom</t>
        </is>
      </c>
      <c r="I159" t="n">
        <v>12</v>
      </c>
      <c r="J159" t="n">
        <v>0</v>
      </c>
      <c r="K159" t="n">
        <v>0</v>
      </c>
      <c r="L159" t="n">
        <v>0</v>
      </c>
      <c r="N159" t="inlineStr">
        <is>
          <t>d0d8dd</t>
        </is>
      </c>
      <c r="O159" t="inlineStr">
        <is>
          <t>L</t>
        </is>
      </c>
      <c r="Q159" t="n">
        <v>3</v>
      </c>
      <c r="R159" t="b">
        <v>1</v>
      </c>
      <c r="S159" t="inlineStr">
        <is>
          <t xml:space="preserve"> </t>
        </is>
      </c>
      <c r="T159" t="n">
        <v>0</v>
      </c>
    </row>
    <row r="160">
      <c r="A160" t="inlineStr">
        <is>
          <t>policy_checklist2_text11_response1</t>
        </is>
      </c>
      <c r="B160" t="n">
        <v>8</v>
      </c>
      <c r="C160" t="inlineStr">
        <is>
          <t>T</t>
        </is>
      </c>
      <c r="D160" t="n">
        <v>113</v>
      </c>
      <c r="E160" t="n">
        <v>180</v>
      </c>
      <c r="F160" t="n">
        <v>140</v>
      </c>
      <c r="G160" t="n">
        <v>183</v>
      </c>
      <c r="H160" t="inlineStr">
        <is>
          <t>dejavu</t>
        </is>
      </c>
      <c r="I160" t="n">
        <v>16</v>
      </c>
      <c r="J160" t="n">
        <v>1</v>
      </c>
      <c r="K160" t="n">
        <v>0</v>
      </c>
      <c r="L160" t="n">
        <v>0</v>
      </c>
      <c r="N160" t="inlineStr">
        <is>
          <t>d0d8dd</t>
        </is>
      </c>
      <c r="O160" t="inlineStr">
        <is>
          <t>C</t>
        </is>
      </c>
      <c r="Q160" t="n">
        <v>2</v>
      </c>
      <c r="R160" t="b">
        <v>0</v>
      </c>
      <c r="S160" t="inlineStr">
        <is>
          <t xml:space="preserve"> </t>
        </is>
      </c>
      <c r="T160" t="n">
        <v>0</v>
      </c>
    </row>
    <row r="161">
      <c r="A161" t="inlineStr">
        <is>
          <t>policy_checklist2_text11_response2</t>
        </is>
      </c>
      <c r="B161" t="n">
        <v>8</v>
      </c>
      <c r="C161" t="inlineStr">
        <is>
          <t>T</t>
        </is>
      </c>
      <c r="D161" t="n">
        <v>140</v>
      </c>
      <c r="E161" t="n">
        <v>180</v>
      </c>
      <c r="F161" t="n">
        <v>169</v>
      </c>
      <c r="G161" t="n">
        <v>183</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policy_checklist2_text11_response3</t>
        </is>
      </c>
      <c r="B162" t="n">
        <v>8</v>
      </c>
      <c r="C162" t="inlineStr">
        <is>
          <t>T</t>
        </is>
      </c>
      <c r="D162" t="n">
        <v>168</v>
      </c>
      <c r="E162" t="n">
        <v>180</v>
      </c>
      <c r="F162" t="n">
        <v>194</v>
      </c>
      <c r="G162" t="n">
        <v>183</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policy_checklist2_text12</t>
        </is>
      </c>
      <c r="B163" t="n">
        <v>8</v>
      </c>
      <c r="C163" t="inlineStr">
        <is>
          <t>T</t>
        </is>
      </c>
      <c r="D163" t="n">
        <v>14</v>
      </c>
      <c r="E163" t="n">
        <v>191</v>
      </c>
      <c r="F163" t="n">
        <v>112</v>
      </c>
      <c r="G163" t="n">
        <v>196</v>
      </c>
      <c r="H163" t="inlineStr">
        <is>
          <t>custom</t>
        </is>
      </c>
      <c r="I163" t="n">
        <v>12</v>
      </c>
      <c r="J163" t="n">
        <v>0</v>
      </c>
      <c r="K163" t="n">
        <v>0</v>
      </c>
      <c r="L163" t="n">
        <v>0</v>
      </c>
      <c r="N163" t="inlineStr">
        <is>
          <t>d0d8dd</t>
        </is>
      </c>
      <c r="O163" t="inlineStr">
        <is>
          <t>L</t>
        </is>
      </c>
      <c r="Q163" t="n">
        <v>3</v>
      </c>
      <c r="R163" t="b">
        <v>1</v>
      </c>
      <c r="S163" t="inlineStr">
        <is>
          <t xml:space="preserve"> </t>
        </is>
      </c>
      <c r="T163" t="n">
        <v>0</v>
      </c>
    </row>
    <row r="164">
      <c r="A164" t="inlineStr">
        <is>
          <t>policy_checklist2_text12_response1</t>
        </is>
      </c>
      <c r="B164" t="n">
        <v>8</v>
      </c>
      <c r="C164" t="inlineStr">
        <is>
          <t>T</t>
        </is>
      </c>
      <c r="D164" t="n">
        <v>113</v>
      </c>
      <c r="E164" t="n">
        <v>192</v>
      </c>
      <c r="F164" t="n">
        <v>140</v>
      </c>
      <c r="G164" t="n">
        <v>195</v>
      </c>
      <c r="H164" t="inlineStr">
        <is>
          <t>dejavu</t>
        </is>
      </c>
      <c r="I164" t="n">
        <v>16</v>
      </c>
      <c r="J164" t="n">
        <v>1</v>
      </c>
      <c r="K164" t="n">
        <v>0</v>
      </c>
      <c r="L164" t="n">
        <v>0</v>
      </c>
      <c r="N164" t="inlineStr">
        <is>
          <t>d0d8dd</t>
        </is>
      </c>
      <c r="O164" t="inlineStr">
        <is>
          <t>C</t>
        </is>
      </c>
      <c r="Q164" t="n">
        <v>2</v>
      </c>
      <c r="R164" t="b">
        <v>0</v>
      </c>
      <c r="S164" t="inlineStr">
        <is>
          <t xml:space="preserve"> </t>
        </is>
      </c>
      <c r="T164" t="n">
        <v>0</v>
      </c>
    </row>
    <row r="165">
      <c r="A165" t="inlineStr">
        <is>
          <t>policy_checklist2_text12_response2</t>
        </is>
      </c>
      <c r="B165" t="n">
        <v>8</v>
      </c>
      <c r="C165" t="inlineStr">
        <is>
          <t>T</t>
        </is>
      </c>
      <c r="D165" t="n">
        <v>140</v>
      </c>
      <c r="E165" t="n">
        <v>192</v>
      </c>
      <c r="F165" t="n">
        <v>169</v>
      </c>
      <c r="G165" t="n">
        <v>195</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policy_checklist2_text12_response3</t>
        </is>
      </c>
      <c r="B166" t="n">
        <v>8</v>
      </c>
      <c r="C166" t="inlineStr">
        <is>
          <t>T</t>
        </is>
      </c>
      <c r="D166" t="n">
        <v>168</v>
      </c>
      <c r="E166" t="n">
        <v>192</v>
      </c>
      <c r="F166" t="n">
        <v>194</v>
      </c>
      <c r="G166" t="n">
        <v>195</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policy_checklist2_text13</t>
        </is>
      </c>
      <c r="B167" t="n">
        <v>8</v>
      </c>
      <c r="C167" t="inlineStr">
        <is>
          <t>T</t>
        </is>
      </c>
      <c r="D167" t="n">
        <v>14</v>
      </c>
      <c r="E167" t="n">
        <v>203</v>
      </c>
      <c r="F167" t="n">
        <v>112</v>
      </c>
      <c r="G167" t="n">
        <v>208</v>
      </c>
      <c r="H167" t="inlineStr">
        <is>
          <t>custom</t>
        </is>
      </c>
      <c r="I167" t="n">
        <v>12</v>
      </c>
      <c r="J167" t="n">
        <v>0</v>
      </c>
      <c r="K167" t="n">
        <v>0</v>
      </c>
      <c r="L167" t="n">
        <v>0</v>
      </c>
      <c r="N167" t="inlineStr">
        <is>
          <t>d0d8dd</t>
        </is>
      </c>
      <c r="O167" t="inlineStr">
        <is>
          <t>L</t>
        </is>
      </c>
      <c r="Q167" t="n">
        <v>3</v>
      </c>
      <c r="R167" t="b">
        <v>1</v>
      </c>
      <c r="S167" t="inlineStr">
        <is>
          <t xml:space="preserve"> </t>
        </is>
      </c>
      <c r="T167" t="n">
        <v>0</v>
      </c>
    </row>
    <row r="168">
      <c r="A168" t="inlineStr">
        <is>
          <t>policy_checklist2_text13_response1</t>
        </is>
      </c>
      <c r="B168" t="n">
        <v>8</v>
      </c>
      <c r="C168" t="inlineStr">
        <is>
          <t>T</t>
        </is>
      </c>
      <c r="D168" t="n">
        <v>113</v>
      </c>
      <c r="E168" t="n">
        <v>204</v>
      </c>
      <c r="F168" t="n">
        <v>140</v>
      </c>
      <c r="G168" t="n">
        <v>207</v>
      </c>
      <c r="H168" t="inlineStr">
        <is>
          <t>dejavu</t>
        </is>
      </c>
      <c r="I168" t="n">
        <v>16</v>
      </c>
      <c r="J168" t="n">
        <v>1</v>
      </c>
      <c r="K168" t="n">
        <v>0</v>
      </c>
      <c r="L168" t="n">
        <v>0</v>
      </c>
      <c r="N168" t="inlineStr">
        <is>
          <t>d0d8dd</t>
        </is>
      </c>
      <c r="O168" t="inlineStr">
        <is>
          <t>C</t>
        </is>
      </c>
      <c r="Q168" t="n">
        <v>2</v>
      </c>
      <c r="R168" t="b">
        <v>0</v>
      </c>
      <c r="S168" t="inlineStr">
        <is>
          <t xml:space="preserve"> </t>
        </is>
      </c>
      <c r="T168" t="n">
        <v>0</v>
      </c>
    </row>
    <row r="169">
      <c r="A169" t="inlineStr">
        <is>
          <t>policy_checklist2_text13_response2</t>
        </is>
      </c>
      <c r="B169" t="n">
        <v>8</v>
      </c>
      <c r="C169" t="inlineStr">
        <is>
          <t>T</t>
        </is>
      </c>
      <c r="D169" t="n">
        <v>140</v>
      </c>
      <c r="E169" t="n">
        <v>204</v>
      </c>
      <c r="F169" t="n">
        <v>169</v>
      </c>
      <c r="G169" t="n">
        <v>207</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policy_checklist2_text13_response3</t>
        </is>
      </c>
      <c r="B170" t="n">
        <v>8</v>
      </c>
      <c r="C170" t="inlineStr">
        <is>
          <t>T</t>
        </is>
      </c>
      <c r="D170" t="n">
        <v>168</v>
      </c>
      <c r="E170" t="n">
        <v>204</v>
      </c>
      <c r="F170" t="n">
        <v>194</v>
      </c>
      <c r="G170" t="n">
        <v>207</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policy_checklist2_text14</t>
        </is>
      </c>
      <c r="B171" t="n">
        <v>8</v>
      </c>
      <c r="C171" t="inlineStr">
        <is>
          <t>T</t>
        </is>
      </c>
      <c r="D171" t="n">
        <v>14</v>
      </c>
      <c r="E171" t="n">
        <v>215</v>
      </c>
      <c r="F171" t="n">
        <v>112</v>
      </c>
      <c r="G171" t="n">
        <v>220</v>
      </c>
      <c r="H171" t="inlineStr">
        <is>
          <t>custom</t>
        </is>
      </c>
      <c r="I171" t="n">
        <v>12</v>
      </c>
      <c r="J171" t="n">
        <v>0</v>
      </c>
      <c r="K171" t="n">
        <v>0</v>
      </c>
      <c r="L171" t="n">
        <v>0</v>
      </c>
      <c r="N171" t="inlineStr">
        <is>
          <t>d0d8dd</t>
        </is>
      </c>
      <c r="O171" t="inlineStr">
        <is>
          <t>L</t>
        </is>
      </c>
      <c r="Q171" t="n">
        <v>3</v>
      </c>
      <c r="R171" t="b">
        <v>1</v>
      </c>
      <c r="S171" t="inlineStr">
        <is>
          <t xml:space="preserve"> </t>
        </is>
      </c>
      <c r="T171" t="n">
        <v>0</v>
      </c>
    </row>
    <row r="172">
      <c r="A172" t="inlineStr">
        <is>
          <t>policy_checklist2_text14_response1</t>
        </is>
      </c>
      <c r="B172" t="n">
        <v>8</v>
      </c>
      <c r="C172" t="inlineStr">
        <is>
          <t>T</t>
        </is>
      </c>
      <c r="D172" t="n">
        <v>113</v>
      </c>
      <c r="E172" t="n">
        <v>216</v>
      </c>
      <c r="F172" t="n">
        <v>140</v>
      </c>
      <c r="G172" t="n">
        <v>219</v>
      </c>
      <c r="H172" t="inlineStr">
        <is>
          <t>dejavu</t>
        </is>
      </c>
      <c r="I172" t="n">
        <v>16</v>
      </c>
      <c r="J172" t="n">
        <v>1</v>
      </c>
      <c r="K172" t="n">
        <v>0</v>
      </c>
      <c r="L172" t="n">
        <v>0</v>
      </c>
      <c r="N172" t="inlineStr">
        <is>
          <t>d0d8dd</t>
        </is>
      </c>
      <c r="O172" t="inlineStr">
        <is>
          <t>C</t>
        </is>
      </c>
      <c r="Q172" t="n">
        <v>2</v>
      </c>
      <c r="R172" t="b">
        <v>0</v>
      </c>
      <c r="S172" t="inlineStr">
        <is>
          <t xml:space="preserve"> </t>
        </is>
      </c>
      <c r="T172" t="n">
        <v>0</v>
      </c>
    </row>
    <row r="173">
      <c r="A173" t="inlineStr">
        <is>
          <t>policy_checklist2_text14_response2</t>
        </is>
      </c>
      <c r="B173" t="n">
        <v>8</v>
      </c>
      <c r="C173" t="inlineStr">
        <is>
          <t>T</t>
        </is>
      </c>
      <c r="D173" t="n">
        <v>140</v>
      </c>
      <c r="E173" t="n">
        <v>216</v>
      </c>
      <c r="F173" t="n">
        <v>169</v>
      </c>
      <c r="G173" t="n">
        <v>219</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policy_checklist2_text14_response3</t>
        </is>
      </c>
      <c r="B174" t="n">
        <v>8</v>
      </c>
      <c r="C174" t="inlineStr">
        <is>
          <t>T</t>
        </is>
      </c>
      <c r="D174" t="n">
        <v>168</v>
      </c>
      <c r="E174" t="n">
        <v>216</v>
      </c>
      <c r="F174" t="n">
        <v>194</v>
      </c>
      <c r="G174" t="n">
        <v>219</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policy_checklist2_text15</t>
        </is>
      </c>
      <c r="B175" t="n">
        <v>8</v>
      </c>
      <c r="C175" t="inlineStr">
        <is>
          <t>T</t>
        </is>
      </c>
      <c r="D175" t="n">
        <v>14</v>
      </c>
      <c r="E175" t="n">
        <v>227</v>
      </c>
      <c r="F175" t="n">
        <v>112</v>
      </c>
      <c r="G175" t="n">
        <v>232</v>
      </c>
      <c r="H175" t="inlineStr">
        <is>
          <t>custom</t>
        </is>
      </c>
      <c r="I175" t="n">
        <v>12</v>
      </c>
      <c r="J175" t="n">
        <v>0</v>
      </c>
      <c r="K175" t="n">
        <v>0</v>
      </c>
      <c r="L175" t="n">
        <v>0</v>
      </c>
      <c r="N175" t="inlineStr">
        <is>
          <t>d0d8dd</t>
        </is>
      </c>
      <c r="O175" t="inlineStr">
        <is>
          <t>L</t>
        </is>
      </c>
      <c r="Q175" t="n">
        <v>3</v>
      </c>
      <c r="R175" t="b">
        <v>1</v>
      </c>
      <c r="S175" t="inlineStr">
        <is>
          <t xml:space="preserve"> </t>
        </is>
      </c>
      <c r="T175" t="n">
        <v>0</v>
      </c>
    </row>
    <row r="176">
      <c r="A176" t="inlineStr">
        <is>
          <t>policy_checklist2_text15_response1</t>
        </is>
      </c>
      <c r="B176" t="n">
        <v>8</v>
      </c>
      <c r="C176" t="inlineStr">
        <is>
          <t>T</t>
        </is>
      </c>
      <c r="D176" t="n">
        <v>113</v>
      </c>
      <c r="E176" t="n">
        <v>228</v>
      </c>
      <c r="F176" t="n">
        <v>140</v>
      </c>
      <c r="G176" t="n">
        <v>231</v>
      </c>
      <c r="H176" t="inlineStr">
        <is>
          <t>dejavu</t>
        </is>
      </c>
      <c r="I176" t="n">
        <v>16</v>
      </c>
      <c r="J176" t="n">
        <v>1</v>
      </c>
      <c r="K176" t="n">
        <v>0</v>
      </c>
      <c r="L176" t="n">
        <v>0</v>
      </c>
      <c r="N176" t="inlineStr">
        <is>
          <t>d0d8dd</t>
        </is>
      </c>
      <c r="O176" t="inlineStr">
        <is>
          <t>C</t>
        </is>
      </c>
      <c r="Q176" t="n">
        <v>2</v>
      </c>
      <c r="R176" t="b">
        <v>0</v>
      </c>
      <c r="S176" t="inlineStr">
        <is>
          <t xml:space="preserve"> </t>
        </is>
      </c>
      <c r="T176" t="n">
        <v>0</v>
      </c>
    </row>
    <row r="177">
      <c r="A177" t="inlineStr">
        <is>
          <t>policy_checklist2_text15_response2</t>
        </is>
      </c>
      <c r="B177" t="n">
        <v>8</v>
      </c>
      <c r="C177" t="inlineStr">
        <is>
          <t>T</t>
        </is>
      </c>
      <c r="D177" t="n">
        <v>140</v>
      </c>
      <c r="E177" t="n">
        <v>228</v>
      </c>
      <c r="F177" t="n">
        <v>169</v>
      </c>
      <c r="G177" t="n">
        <v>231</v>
      </c>
      <c r="H177" t="inlineStr">
        <is>
          <t>dejavu</t>
        </is>
      </c>
      <c r="I177" t="n">
        <v>16</v>
      </c>
      <c r="J177" t="n">
        <v>1</v>
      </c>
      <c r="K177" t="n">
        <v>0</v>
      </c>
      <c r="L177" t="n">
        <v>0</v>
      </c>
      <c r="N177" t="inlineStr">
        <is>
          <t>d0d8dd</t>
        </is>
      </c>
      <c r="O177" t="inlineStr">
        <is>
          <t>C</t>
        </is>
      </c>
      <c r="Q177" t="n">
        <v>2</v>
      </c>
      <c r="R177" t="b">
        <v>0</v>
      </c>
      <c r="S177" t="inlineStr">
        <is>
          <t xml:space="preserve"> </t>
        </is>
      </c>
      <c r="T177" t="n">
        <v>0</v>
      </c>
    </row>
    <row r="178">
      <c r="A178" t="inlineStr">
        <is>
          <t>policy_checklist2_text15_response3</t>
        </is>
      </c>
      <c r="B178" t="n">
        <v>8</v>
      </c>
      <c r="C178" t="inlineStr">
        <is>
          <t>T</t>
        </is>
      </c>
      <c r="D178" t="n">
        <v>168</v>
      </c>
      <c r="E178" t="n">
        <v>228</v>
      </c>
      <c r="F178" t="n">
        <v>194</v>
      </c>
      <c r="G178" t="n">
        <v>231</v>
      </c>
      <c r="H178" t="inlineStr">
        <is>
          <t>dejavu</t>
        </is>
      </c>
      <c r="I178" t="n">
        <v>16</v>
      </c>
      <c r="J178" t="n">
        <v>1</v>
      </c>
      <c r="K178" t="n">
        <v>0</v>
      </c>
      <c r="L178" t="n">
        <v>0</v>
      </c>
      <c r="N178" t="inlineStr">
        <is>
          <t>d0d8dd</t>
        </is>
      </c>
      <c r="O178" t="inlineStr">
        <is>
          <t>C</t>
        </is>
      </c>
      <c r="Q178" t="n">
        <v>2</v>
      </c>
      <c r="R178" t="b">
        <v>0</v>
      </c>
      <c r="S178" t="inlineStr">
        <is>
          <t xml:space="preserve"> </t>
        </is>
      </c>
      <c r="T178" t="n">
        <v>0</v>
      </c>
    </row>
    <row r="179">
      <c r="A179" t="inlineStr">
        <is>
          <t>policy_checklist2_text16</t>
        </is>
      </c>
      <c r="B179" t="n">
        <v>8</v>
      </c>
      <c r="C179" t="inlineStr">
        <is>
          <t>T</t>
        </is>
      </c>
      <c r="D179" t="n">
        <v>14</v>
      </c>
      <c r="E179" t="n">
        <v>239</v>
      </c>
      <c r="F179" t="n">
        <v>112</v>
      </c>
      <c r="G179" t="n">
        <v>244</v>
      </c>
      <c r="H179" t="inlineStr">
        <is>
          <t>custom</t>
        </is>
      </c>
      <c r="I179" t="n">
        <v>12</v>
      </c>
      <c r="J179" t="n">
        <v>0</v>
      </c>
      <c r="K179" t="n">
        <v>0</v>
      </c>
      <c r="L179" t="n">
        <v>0</v>
      </c>
      <c r="N179" t="inlineStr">
        <is>
          <t>d0d8dd</t>
        </is>
      </c>
      <c r="O179" t="inlineStr">
        <is>
          <t>L</t>
        </is>
      </c>
      <c r="Q179" t="n">
        <v>3</v>
      </c>
      <c r="R179" t="b">
        <v>1</v>
      </c>
      <c r="S179" t="inlineStr">
        <is>
          <t xml:space="preserve"> </t>
        </is>
      </c>
      <c r="T179" t="n">
        <v>0</v>
      </c>
    </row>
    <row r="180">
      <c r="A180" t="inlineStr">
        <is>
          <t>policy_checklist2_text16_response1</t>
        </is>
      </c>
      <c r="B180" t="n">
        <v>8</v>
      </c>
      <c r="C180" t="inlineStr">
        <is>
          <t>T</t>
        </is>
      </c>
      <c r="D180" t="n">
        <v>113</v>
      </c>
      <c r="E180" t="n">
        <v>240</v>
      </c>
      <c r="F180" t="n">
        <v>140</v>
      </c>
      <c r="G180" t="n">
        <v>243</v>
      </c>
      <c r="H180" t="inlineStr">
        <is>
          <t>dejavu</t>
        </is>
      </c>
      <c r="I180" t="n">
        <v>16</v>
      </c>
      <c r="J180" t="n">
        <v>1</v>
      </c>
      <c r="K180" t="n">
        <v>0</v>
      </c>
      <c r="L180" t="n">
        <v>0</v>
      </c>
      <c r="N180" t="inlineStr">
        <is>
          <t>d0d8dd</t>
        </is>
      </c>
      <c r="O180" t="inlineStr">
        <is>
          <t>C</t>
        </is>
      </c>
      <c r="Q180" t="n">
        <v>2</v>
      </c>
      <c r="R180" t="b">
        <v>0</v>
      </c>
      <c r="S180" t="inlineStr">
        <is>
          <t xml:space="preserve"> </t>
        </is>
      </c>
      <c r="T180" t="n">
        <v>0</v>
      </c>
    </row>
    <row r="181">
      <c r="A181" t="inlineStr">
        <is>
          <t>policy_checklist2_text16_response2</t>
        </is>
      </c>
      <c r="B181" t="n">
        <v>8</v>
      </c>
      <c r="C181" t="inlineStr">
        <is>
          <t>T</t>
        </is>
      </c>
      <c r="D181" t="n">
        <v>140</v>
      </c>
      <c r="E181" t="n">
        <v>240</v>
      </c>
      <c r="F181" t="n">
        <v>169</v>
      </c>
      <c r="G181" t="n">
        <v>243</v>
      </c>
      <c r="H181" t="inlineStr">
        <is>
          <t>dejavu</t>
        </is>
      </c>
      <c r="I181" t="n">
        <v>16</v>
      </c>
      <c r="J181" t="n">
        <v>1</v>
      </c>
      <c r="K181" t="n">
        <v>0</v>
      </c>
      <c r="L181" t="n">
        <v>0</v>
      </c>
      <c r="N181" t="inlineStr">
        <is>
          <t>d0d8dd</t>
        </is>
      </c>
      <c r="O181" t="inlineStr">
        <is>
          <t>C</t>
        </is>
      </c>
      <c r="Q181" t="n">
        <v>2</v>
      </c>
      <c r="R181" t="b">
        <v>0</v>
      </c>
      <c r="S181" t="inlineStr">
        <is>
          <t xml:space="preserve"> </t>
        </is>
      </c>
      <c r="T181" t="n">
        <v>0</v>
      </c>
    </row>
    <row r="182">
      <c r="A182" t="inlineStr">
        <is>
          <t>policy_checklist2_text16_response3</t>
        </is>
      </c>
      <c r="B182" t="n">
        <v>8</v>
      </c>
      <c r="C182" t="inlineStr">
        <is>
          <t>T</t>
        </is>
      </c>
      <c r="D182" t="n">
        <v>168</v>
      </c>
      <c r="E182" t="n">
        <v>240</v>
      </c>
      <c r="F182" t="n">
        <v>194</v>
      </c>
      <c r="G182" t="n">
        <v>243</v>
      </c>
      <c r="H182" t="inlineStr">
        <is>
          <t>dejavu</t>
        </is>
      </c>
      <c r="I182" t="n">
        <v>16</v>
      </c>
      <c r="J182" t="n">
        <v>1</v>
      </c>
      <c r="K182" t="n">
        <v>0</v>
      </c>
      <c r="L182" t="n">
        <v>0</v>
      </c>
      <c r="N182" t="inlineStr">
        <is>
          <t>d0d8dd</t>
        </is>
      </c>
      <c r="O182" t="inlineStr">
        <is>
          <t>C</t>
        </is>
      </c>
      <c r="Q182" t="n">
        <v>2</v>
      </c>
      <c r="R182" t="b">
        <v>0</v>
      </c>
      <c r="S182" t="inlineStr">
        <is>
          <t xml:space="preserve"> </t>
        </is>
      </c>
      <c r="T182" t="n">
        <v>0</v>
      </c>
    </row>
    <row r="183">
      <c r="A183" t="inlineStr">
        <is>
          <t>policy_checklist2_text17</t>
        </is>
      </c>
      <c r="B183" t="n">
        <v>8</v>
      </c>
      <c r="C183" t="inlineStr">
        <is>
          <t>T</t>
        </is>
      </c>
      <c r="D183" t="n">
        <v>14</v>
      </c>
      <c r="E183" t="n">
        <v>251</v>
      </c>
      <c r="F183" t="n">
        <v>112</v>
      </c>
      <c r="G183" t="n">
        <v>256</v>
      </c>
      <c r="H183" t="inlineStr">
        <is>
          <t>custom</t>
        </is>
      </c>
      <c r="I183" t="n">
        <v>12</v>
      </c>
      <c r="J183" t="n">
        <v>0</v>
      </c>
      <c r="K183" t="n">
        <v>0</v>
      </c>
      <c r="L183" t="n">
        <v>0</v>
      </c>
      <c r="N183" t="inlineStr">
        <is>
          <t>d0d8dd</t>
        </is>
      </c>
      <c r="O183" t="inlineStr">
        <is>
          <t>L</t>
        </is>
      </c>
      <c r="Q183" t="n">
        <v>3</v>
      </c>
      <c r="R183" t="b">
        <v>1</v>
      </c>
      <c r="S183" t="inlineStr">
        <is>
          <t xml:space="preserve"> </t>
        </is>
      </c>
      <c r="T183" t="n">
        <v>0</v>
      </c>
    </row>
    <row r="184">
      <c r="A184" t="inlineStr">
        <is>
          <t>policy_checklist2_text17_response1</t>
        </is>
      </c>
      <c r="B184" t="n">
        <v>8</v>
      </c>
      <c r="C184" t="inlineStr">
        <is>
          <t>T</t>
        </is>
      </c>
      <c r="D184" t="n">
        <v>113</v>
      </c>
      <c r="E184" t="n">
        <v>252</v>
      </c>
      <c r="F184" t="n">
        <v>140</v>
      </c>
      <c r="G184" t="n">
        <v>255</v>
      </c>
      <c r="H184" t="inlineStr">
        <is>
          <t>dejavu</t>
        </is>
      </c>
      <c r="I184" t="n">
        <v>16</v>
      </c>
      <c r="J184" t="n">
        <v>1</v>
      </c>
      <c r="K184" t="n">
        <v>0</v>
      </c>
      <c r="L184" t="n">
        <v>0</v>
      </c>
      <c r="N184" t="inlineStr">
        <is>
          <t>d0d8dd</t>
        </is>
      </c>
      <c r="O184" t="inlineStr">
        <is>
          <t>C</t>
        </is>
      </c>
      <c r="Q184" t="n">
        <v>2</v>
      </c>
      <c r="R184" t="b">
        <v>0</v>
      </c>
      <c r="S184" t="inlineStr">
        <is>
          <t xml:space="preserve"> </t>
        </is>
      </c>
      <c r="T184" t="n">
        <v>0</v>
      </c>
    </row>
    <row r="185">
      <c r="A185" t="inlineStr">
        <is>
          <t>policy_checklist2_text17_response2</t>
        </is>
      </c>
      <c r="B185" t="n">
        <v>8</v>
      </c>
      <c r="C185" t="inlineStr">
        <is>
          <t>T</t>
        </is>
      </c>
      <c r="D185" t="n">
        <v>140</v>
      </c>
      <c r="E185" t="n">
        <v>252</v>
      </c>
      <c r="F185" t="n">
        <v>169</v>
      </c>
      <c r="G185" t="n">
        <v>255</v>
      </c>
      <c r="H185" t="inlineStr">
        <is>
          <t>dejavu</t>
        </is>
      </c>
      <c r="I185" t="n">
        <v>16</v>
      </c>
      <c r="J185" t="n">
        <v>1</v>
      </c>
      <c r="K185" t="n">
        <v>0</v>
      </c>
      <c r="L185" t="n">
        <v>0</v>
      </c>
      <c r="N185" t="inlineStr">
        <is>
          <t>d0d8dd</t>
        </is>
      </c>
      <c r="O185" t="inlineStr">
        <is>
          <t>C</t>
        </is>
      </c>
      <c r="Q185" t="n">
        <v>2</v>
      </c>
      <c r="R185" t="b">
        <v>0</v>
      </c>
      <c r="S185" t="inlineStr">
        <is>
          <t xml:space="preserve"> </t>
        </is>
      </c>
      <c r="T185" t="n">
        <v>0</v>
      </c>
    </row>
    <row r="186">
      <c r="A186" t="inlineStr">
        <is>
          <t>policy_checklist2_text17_response3</t>
        </is>
      </c>
      <c r="B186" t="n">
        <v>8</v>
      </c>
      <c r="C186" t="inlineStr">
        <is>
          <t>T</t>
        </is>
      </c>
      <c r="D186" t="n">
        <v>168</v>
      </c>
      <c r="E186" t="n">
        <v>252</v>
      </c>
      <c r="F186" t="n">
        <v>194</v>
      </c>
      <c r="G186" t="n">
        <v>255</v>
      </c>
      <c r="H186" t="inlineStr">
        <is>
          <t>dejavu</t>
        </is>
      </c>
      <c r="I186" t="n">
        <v>16</v>
      </c>
      <c r="J186" t="n">
        <v>1</v>
      </c>
      <c r="K186" t="n">
        <v>0</v>
      </c>
      <c r="L186" t="n">
        <v>0</v>
      </c>
      <c r="N186" t="inlineStr">
        <is>
          <t>d0d8dd</t>
        </is>
      </c>
      <c r="O186" t="inlineStr">
        <is>
          <t>C</t>
        </is>
      </c>
      <c r="Q186" t="n">
        <v>2</v>
      </c>
      <c r="R186" t="b">
        <v>0</v>
      </c>
      <c r="S186" t="inlineStr">
        <is>
          <t xml:space="preserve"> </t>
        </is>
      </c>
      <c r="T186" t="n">
        <v>0</v>
      </c>
    </row>
    <row r="187">
      <c r="A187" t="inlineStr">
        <is>
          <t>Neighbourhood walkability relative to 25 cities internationally</t>
        </is>
      </c>
      <c r="B187" t="n">
        <v>9</v>
      </c>
      <c r="C187" t="inlineStr">
        <is>
          <t>T</t>
        </is>
      </c>
      <c r="D187" t="n">
        <v>14</v>
      </c>
      <c r="E187" t="n">
        <v>20</v>
      </c>
      <c r="F187" t="n">
        <v>196</v>
      </c>
      <c r="G187" t="n">
        <v>25</v>
      </c>
      <c r="H187" t="inlineStr">
        <is>
          <t>custom</t>
        </is>
      </c>
      <c r="I187" t="n">
        <v>12</v>
      </c>
      <c r="J187" t="n">
        <v>1</v>
      </c>
      <c r="K187" t="n">
        <v>0</v>
      </c>
      <c r="L187" t="n">
        <v>0</v>
      </c>
      <c r="N187" t="inlineStr">
        <is>
          <t>FFFFFF</t>
        </is>
      </c>
      <c r="O187" t="inlineStr">
        <is>
          <t>L</t>
        </is>
      </c>
      <c r="Q187" t="n">
        <v>3</v>
      </c>
      <c r="R187" t="b">
        <v>1</v>
      </c>
      <c r="S187" t="inlineStr">
        <is>
          <t xml:space="preserve"> </t>
        </is>
      </c>
      <c r="T187" t="n">
        <v>0</v>
      </c>
    </row>
    <row r="188">
      <c r="A188" t="inlineStr">
        <is>
          <t>all_cities_walkability</t>
        </is>
      </c>
      <c r="B188" t="n">
        <v>9</v>
      </c>
      <c r="C188" t="inlineStr">
        <is>
          <t>I</t>
        </is>
      </c>
      <c r="D188" t="n">
        <v>20</v>
      </c>
      <c r="E188" t="n">
        <v>60</v>
      </c>
      <c r="F188" t="n">
        <v>190</v>
      </c>
      <c r="G188" t="n">
        <v>214</v>
      </c>
      <c r="I188" t="n">
        <v>0</v>
      </c>
      <c r="J188" t="n">
        <v>0</v>
      </c>
      <c r="K188" t="n">
        <v>0</v>
      </c>
      <c r="L188" t="n">
        <v>0</v>
      </c>
      <c r="N188" t="inlineStr">
        <is>
          <t>FFFFFF</t>
        </is>
      </c>
      <c r="O188" t="inlineStr">
        <is>
          <t>L</t>
        </is>
      </c>
      <c r="Q188" t="n">
        <v>2</v>
      </c>
      <c r="R188" t="b">
        <v>0</v>
      </c>
      <c r="S188" t="inlineStr">
        <is>
          <t xml:space="preserve"> </t>
        </is>
      </c>
      <c r="T188" t="n">
        <v>0</v>
      </c>
    </row>
    <row r="189">
      <c r="A189" t="inlineStr">
        <is>
          <t>walkability_above_median_pct</t>
        </is>
      </c>
      <c r="B189" t="n">
        <v>9</v>
      </c>
      <c r="C189" t="inlineStr">
        <is>
          <t>T</t>
        </is>
      </c>
      <c r="D189" t="n">
        <v>14</v>
      </c>
      <c r="E189" t="n">
        <v>218</v>
      </c>
      <c r="F189" t="n">
        <v>196</v>
      </c>
      <c r="G189" t="n">
        <v>226</v>
      </c>
      <c r="H189" t="inlineStr">
        <is>
          <t>custom</t>
        </is>
      </c>
      <c r="I189" t="n">
        <v>14</v>
      </c>
      <c r="J189" t="n">
        <v>0</v>
      </c>
      <c r="K189" t="n">
        <v>0</v>
      </c>
      <c r="L189" t="n">
        <v>0</v>
      </c>
      <c r="M189" t="inlineStr">
        <is>
          <t>584b9f</t>
        </is>
      </c>
      <c r="N189" t="inlineStr">
        <is>
          <t>FFFFFF</t>
        </is>
      </c>
      <c r="O189" t="inlineStr">
        <is>
          <t>C</t>
        </is>
      </c>
      <c r="Q189" t="n">
        <v>3</v>
      </c>
      <c r="R189" t="b">
        <v>1</v>
      </c>
      <c r="S189" t="inlineStr">
        <is>
          <t xml:space="preserve"> </t>
        </is>
      </c>
      <c r="T189" t="n">
        <v>0</v>
      </c>
    </row>
    <row r="190">
      <c r="A190" t="inlineStr">
        <is>
          <t>population_caption</t>
        </is>
      </c>
      <c r="B190" t="n">
        <v>9</v>
      </c>
      <c r="C190" t="inlineStr">
        <is>
          <t>T</t>
        </is>
      </c>
      <c r="D190" t="n">
        <v>14</v>
      </c>
      <c r="E190" t="n">
        <v>275</v>
      </c>
      <c r="F190" t="n">
        <v>197</v>
      </c>
      <c r="G190" t="n">
        <v>280</v>
      </c>
      <c r="H190" t="inlineStr">
        <is>
          <t>custom</t>
        </is>
      </c>
      <c r="I190" t="n">
        <v>8</v>
      </c>
      <c r="J190" t="n">
        <v>0</v>
      </c>
      <c r="K190" t="n">
        <v>0</v>
      </c>
      <c r="L190" t="n">
        <v>0</v>
      </c>
      <c r="M190" t="inlineStr">
        <is>
          <t>584b9f</t>
        </is>
      </c>
      <c r="N190" t="inlineStr">
        <is>
          <t>FFFFFF</t>
        </is>
      </c>
      <c r="O190" t="inlineStr">
        <is>
          <t>L</t>
        </is>
      </c>
      <c r="Q190" t="n">
        <v>3</v>
      </c>
      <c r="R190" t="b">
        <v>1</v>
      </c>
      <c r="T190" t="n">
        <v>0</v>
      </c>
    </row>
    <row r="191" ht="15" customHeight="1">
      <c r="A191" t="inlineStr">
        <is>
          <t>access_profile_table</t>
        </is>
      </c>
      <c r="B191" t="n">
        <v>-999</v>
      </c>
      <c r="C191" t="inlineStr">
        <is>
          <t>T</t>
        </is>
      </c>
      <c r="D191" t="n">
        <v>14</v>
      </c>
      <c r="E191" t="n">
        <v>265</v>
      </c>
      <c r="F191" t="n">
        <v>208</v>
      </c>
      <c r="G191" t="n">
        <v>273</v>
      </c>
      <c r="H191" t="inlineStr">
        <is>
          <t>custom</t>
        </is>
      </c>
      <c r="I191" t="n">
        <v>12</v>
      </c>
      <c r="J191" t="n">
        <v>0</v>
      </c>
      <c r="K191" t="n">
        <v>0</v>
      </c>
      <c r="L191" t="n">
        <v>0</v>
      </c>
      <c r="N191" t="inlineStr">
        <is>
          <t>FFFFFF</t>
        </is>
      </c>
      <c r="O191" t="inlineStr">
        <is>
          <t>R</t>
        </is>
      </c>
      <c r="Q191" t="n">
        <v>2</v>
      </c>
      <c r="R191" t="b">
        <v>1</v>
      </c>
      <c r="S191" t="inlineStr">
        <is>
          <t xml:space="preserve"> </t>
        </is>
      </c>
      <c r="T191" t="n">
        <v>0</v>
      </c>
    </row>
    <row r="192" ht="15" customHeight="1">
      <c r="A192" t="inlineStr">
        <is>
          <t>access_profile_text</t>
        </is>
      </c>
      <c r="B192" t="n">
        <v>10</v>
      </c>
      <c r="C192" t="inlineStr">
        <is>
          <t>T</t>
        </is>
      </c>
      <c r="D192" t="n">
        <v>14</v>
      </c>
      <c r="E192" t="n">
        <v>20</v>
      </c>
      <c r="F192" t="n">
        <v>205</v>
      </c>
      <c r="G192" t="n">
        <v>25</v>
      </c>
      <c r="H192" t="inlineStr">
        <is>
          <t>custom</t>
        </is>
      </c>
      <c r="I192" t="n">
        <v>12</v>
      </c>
      <c r="J192" t="n">
        <v>1</v>
      </c>
      <c r="K192" t="n">
        <v>0</v>
      </c>
      <c r="L192" t="n">
        <v>0</v>
      </c>
      <c r="N192" t="inlineStr">
        <is>
          <t>FFFFFF</t>
        </is>
      </c>
      <c r="O192" t="inlineStr">
        <is>
          <t>L</t>
        </is>
      </c>
      <c r="Q192" t="n">
        <v>3</v>
      </c>
      <c r="R192" t="b">
        <v>1</v>
      </c>
      <c r="S192" t="inlineStr">
        <is>
          <t xml:space="preserve"> </t>
        </is>
      </c>
      <c r="T192" t="n">
        <v>0</v>
      </c>
    </row>
    <row r="193" ht="15" customHeight="1">
      <c r="A193" t="inlineStr">
        <is>
          <t>access_profile</t>
        </is>
      </c>
      <c r="B193" t="n">
        <v>10</v>
      </c>
      <c r="C193" t="inlineStr">
        <is>
          <t>I</t>
        </is>
      </c>
      <c r="D193" t="n">
        <v>14</v>
      </c>
      <c r="E193" t="n">
        <v>30</v>
      </c>
      <c r="F193" t="n">
        <v>196</v>
      </c>
      <c r="G193" t="n">
        <v>257</v>
      </c>
      <c r="H193" t="inlineStr">
        <is>
          <t>custom</t>
        </is>
      </c>
      <c r="I193" t="n">
        <v>12</v>
      </c>
      <c r="J193" t="n">
        <v>0</v>
      </c>
      <c r="K193" t="n">
        <v>0</v>
      </c>
      <c r="L193" t="n">
        <v>0</v>
      </c>
      <c r="N193" t="inlineStr">
        <is>
          <t>FFFFFF</t>
        </is>
      </c>
      <c r="O193" t="inlineStr">
        <is>
          <t>R</t>
        </is>
      </c>
      <c r="Q193" t="n">
        <v>2</v>
      </c>
      <c r="R193" t="b">
        <v>1</v>
      </c>
      <c r="S193" t="inlineStr">
        <is>
          <t xml:space="preserve"> </t>
        </is>
      </c>
      <c r="T193" t="n">
        <v>0</v>
      </c>
    </row>
    <row r="194">
      <c r="A194" t="inlineStr">
        <is>
          <t>thresholds box</t>
        </is>
      </c>
      <c r="B194" t="n">
        <v>-999</v>
      </c>
      <c r="C194" t="inlineStr">
        <is>
          <t>B</t>
        </is>
      </c>
      <c r="D194" t="n">
        <v>10</v>
      </c>
      <c r="E194" t="n">
        <v>10</v>
      </c>
      <c r="F194" t="n">
        <v>101</v>
      </c>
      <c r="G194" t="n">
        <v>80</v>
      </c>
      <c r="I194" t="n">
        <v>0</v>
      </c>
      <c r="J194" t="n">
        <v>0</v>
      </c>
      <c r="K194" t="n">
        <v>0</v>
      </c>
      <c r="L194" t="n">
        <v>0</v>
      </c>
      <c r="N194" t="inlineStr">
        <is>
          <t>FFFFFF</t>
        </is>
      </c>
      <c r="O194" t="inlineStr">
        <is>
          <t>L</t>
        </is>
      </c>
      <c r="Q194" t="n">
        <v>1</v>
      </c>
      <c r="R194" t="b">
        <v>0</v>
      </c>
      <c r="S194" t="inlineStr">
        <is>
          <t xml:space="preserve"> </t>
        </is>
      </c>
      <c r="T194" t="n">
        <v>0</v>
      </c>
    </row>
    <row r="195">
      <c r="A195" t="inlineStr">
        <is>
          <t>colour_page</t>
        </is>
      </c>
      <c r="B195" t="n">
        <v>-999</v>
      </c>
      <c r="C195" t="inlineStr">
        <is>
          <t>B</t>
        </is>
      </c>
      <c r="D195" t="n">
        <v>0</v>
      </c>
      <c r="E195" t="n">
        <v>0</v>
      </c>
      <c r="F195" t="n">
        <v>211</v>
      </c>
      <c r="G195" t="n">
        <v>16</v>
      </c>
      <c r="I195" t="n">
        <v>0</v>
      </c>
      <c r="J195" t="n">
        <v>0</v>
      </c>
      <c r="K195" t="n">
        <v>0</v>
      </c>
      <c r="L195" t="n">
        <v>0</v>
      </c>
      <c r="M195" t="inlineStr">
        <is>
          <t>E2F0D9</t>
        </is>
      </c>
      <c r="N195" t="inlineStr">
        <is>
          <t>E2F0D9</t>
        </is>
      </c>
      <c r="O195" t="inlineStr">
        <is>
          <t>L</t>
        </is>
      </c>
      <c r="Q195" t="n">
        <v>0</v>
      </c>
      <c r="R195" t="b">
        <v>0</v>
      </c>
      <c r="S195" t="inlineStr">
        <is>
          <t xml:space="preserve"> </t>
        </is>
      </c>
      <c r="T195" t="n">
        <v>0</v>
      </c>
    </row>
    <row r="196">
      <c r="A196" t="inlineStr">
        <is>
          <t>thresholds header</t>
        </is>
      </c>
      <c r="B196" t="n">
        <v>11</v>
      </c>
      <c r="C196" t="inlineStr">
        <is>
          <t>T</t>
        </is>
      </c>
      <c r="D196" t="n">
        <v>14</v>
      </c>
      <c r="E196" t="n">
        <v>20</v>
      </c>
      <c r="F196" t="n">
        <v>196</v>
      </c>
      <c r="G196" t="n">
        <v>25</v>
      </c>
      <c r="H196" t="inlineStr">
        <is>
          <t>custom</t>
        </is>
      </c>
      <c r="I196" t="n">
        <v>14</v>
      </c>
      <c r="J196" t="n">
        <v>1</v>
      </c>
      <c r="K196" t="n">
        <v>0</v>
      </c>
      <c r="L196" t="n">
        <v>0</v>
      </c>
      <c r="N196" t="inlineStr">
        <is>
          <t>FFFFFF</t>
        </is>
      </c>
      <c r="O196" t="inlineStr">
        <is>
          <t>L</t>
        </is>
      </c>
      <c r="Q196" t="n">
        <v>2</v>
      </c>
      <c r="R196" t="b">
        <v>1</v>
      </c>
      <c r="S196" t="inlineStr">
        <is>
          <t xml:space="preserve"> </t>
        </is>
      </c>
      <c r="T196" t="n">
        <v>0</v>
      </c>
    </row>
    <row r="197">
      <c r="A197" t="inlineStr">
        <is>
          <t>thresholds text</t>
        </is>
      </c>
      <c r="B197" t="n">
        <v>11</v>
      </c>
      <c r="C197" t="inlineStr">
        <is>
          <t>T</t>
        </is>
      </c>
      <c r="D197" t="n">
        <v>14</v>
      </c>
      <c r="E197" t="n">
        <v>33</v>
      </c>
      <c r="F197" t="n">
        <v>196</v>
      </c>
      <c r="G197" t="n">
        <v>38</v>
      </c>
      <c r="H197" t="inlineStr">
        <is>
          <t>custom</t>
        </is>
      </c>
      <c r="I197" t="n">
        <v>12</v>
      </c>
      <c r="J197" t="n">
        <v>0</v>
      </c>
      <c r="K197" t="n">
        <v>0</v>
      </c>
      <c r="L197" t="n">
        <v>0</v>
      </c>
      <c r="N197" t="inlineStr">
        <is>
          <t>FFFFFF</t>
        </is>
      </c>
      <c r="O197" t="inlineStr">
        <is>
          <t>L</t>
        </is>
      </c>
      <c r="P197" s="1" t="n"/>
      <c r="Q197" t="n">
        <v>1</v>
      </c>
      <c r="R197" t="b">
        <v>1</v>
      </c>
      <c r="S197" t="inlineStr">
        <is>
          <t xml:space="preserve"> </t>
        </is>
      </c>
      <c r="T197" t="n">
        <v>0</v>
      </c>
    </row>
    <row r="198">
      <c r="A198" t="inlineStr">
        <is>
          <t>hero_image_3</t>
        </is>
      </c>
      <c r="B198" t="n">
        <v>11</v>
      </c>
      <c r="C198" t="inlineStr">
        <is>
          <t>I</t>
        </is>
      </c>
      <c r="D198" t="n">
        <v>30</v>
      </c>
      <c r="E198" t="n">
        <v>115</v>
      </c>
      <c r="F198" t="n">
        <v>180</v>
      </c>
      <c r="G198" t="n">
        <v>265</v>
      </c>
      <c r="I198" t="n">
        <v>0</v>
      </c>
      <c r="J198" t="n">
        <v>0</v>
      </c>
      <c r="K198" t="n">
        <v>0</v>
      </c>
      <c r="L198" t="n">
        <v>0</v>
      </c>
      <c r="N198" t="inlineStr">
        <is>
          <t>FFFFFF</t>
        </is>
      </c>
      <c r="O198" t="inlineStr">
        <is>
          <t>L</t>
        </is>
      </c>
      <c r="Q198" t="n">
        <v>0</v>
      </c>
      <c r="R198" t="b">
        <v>0</v>
      </c>
      <c r="S198" t="inlineStr">
        <is>
          <t xml:space="preserve"> </t>
        </is>
      </c>
      <c r="T198" t="n">
        <v>0</v>
      </c>
    </row>
    <row r="199">
      <c r="A199" t="inlineStr">
        <is>
          <t>hero_alt_3</t>
        </is>
      </c>
      <c r="B199" t="n">
        <v>11</v>
      </c>
      <c r="C199" t="inlineStr">
        <is>
          <t>T</t>
        </is>
      </c>
      <c r="D199" t="n">
        <v>30</v>
      </c>
      <c r="E199" t="n">
        <v>115</v>
      </c>
      <c r="F199" t="n">
        <v>130</v>
      </c>
      <c r="G199" t="n">
        <v>265</v>
      </c>
      <c r="H199" t="inlineStr">
        <is>
          <t>custom</t>
        </is>
      </c>
      <c r="I199" t="n">
        <v>12</v>
      </c>
      <c r="J199" t="n">
        <v>0</v>
      </c>
      <c r="K199" t="n">
        <v>1</v>
      </c>
      <c r="L199" t="n">
        <v>0</v>
      </c>
      <c r="N199" t="inlineStr">
        <is>
          <t>FFFFFF</t>
        </is>
      </c>
      <c r="O199" t="inlineStr">
        <is>
          <t>L</t>
        </is>
      </c>
      <c r="Q199" t="n">
        <v>0</v>
      </c>
      <c r="R199" t="b">
        <v>1</v>
      </c>
      <c r="S199" t="inlineStr">
        <is>
          <t xml:space="preserve"> </t>
        </is>
      </c>
      <c r="T199" t="n">
        <v>0</v>
      </c>
    </row>
    <row r="200">
      <c r="A200" t="inlineStr">
        <is>
          <t>Image 3 credit</t>
        </is>
      </c>
      <c r="B200" t="n">
        <v>11</v>
      </c>
      <c r="C200" t="inlineStr">
        <is>
          <t>T</t>
        </is>
      </c>
      <c r="D200" t="n">
        <v>30</v>
      </c>
      <c r="E200" t="n">
        <v>265</v>
      </c>
      <c r="F200" t="n">
        <v>180</v>
      </c>
      <c r="G200" t="n">
        <v>268</v>
      </c>
      <c r="H200" t="inlineStr">
        <is>
          <t>custom</t>
        </is>
      </c>
      <c r="I200" t="n">
        <v>8</v>
      </c>
      <c r="J200" t="n">
        <v>0</v>
      </c>
      <c r="K200" t="n">
        <v>1</v>
      </c>
      <c r="L200" t="n">
        <v>0</v>
      </c>
      <c r="M200" t="inlineStr">
        <is>
          <t>584b9f</t>
        </is>
      </c>
      <c r="N200" t="inlineStr">
        <is>
          <t>FFFFFF</t>
        </is>
      </c>
      <c r="O200" t="inlineStr">
        <is>
          <t>R</t>
        </is>
      </c>
      <c r="Q200" t="n">
        <v>0</v>
      </c>
      <c r="R200" t="b">
        <v>1</v>
      </c>
      <c r="S200" t="inlineStr">
        <is>
          <t xml:space="preserve"> </t>
        </is>
      </c>
      <c r="T200" t="n">
        <v>0</v>
      </c>
    </row>
    <row r="201">
      <c r="A201" t="inlineStr">
        <is>
          <t>Neighbourhood population density (per km²)</t>
        </is>
      </c>
      <c r="B201" t="n">
        <v>12</v>
      </c>
      <c r="C201" t="inlineStr">
        <is>
          <t>T</t>
        </is>
      </c>
      <c r="D201" t="n">
        <v>14</v>
      </c>
      <c r="E201" t="n">
        <v>20</v>
      </c>
      <c r="F201" t="n">
        <v>180</v>
      </c>
      <c r="G201" t="n">
        <v>25</v>
      </c>
      <c r="H201" t="inlineStr">
        <is>
          <t>custom</t>
        </is>
      </c>
      <c r="I201" t="n">
        <v>12</v>
      </c>
      <c r="J201" t="n">
        <v>1</v>
      </c>
      <c r="K201" t="n">
        <v>0</v>
      </c>
      <c r="L201" t="n">
        <v>0</v>
      </c>
      <c r="N201" t="inlineStr">
        <is>
          <t>FFFFFF</t>
        </is>
      </c>
      <c r="O201" t="inlineStr">
        <is>
          <t>L</t>
        </is>
      </c>
      <c r="Q201" t="n">
        <v>3</v>
      </c>
      <c r="R201" t="b">
        <v>0</v>
      </c>
      <c r="S201" t="inlineStr">
        <is>
          <t xml:space="preserve"> </t>
        </is>
      </c>
      <c r="T201" t="n">
        <v>0</v>
      </c>
    </row>
    <row r="202">
      <c r="A202" t="inlineStr">
        <is>
          <t>threshold scale text</t>
        </is>
      </c>
      <c r="B202" t="n">
        <v>12</v>
      </c>
      <c r="C202" t="inlineStr">
        <is>
          <t>T</t>
        </is>
      </c>
      <c r="D202" t="n">
        <v>29</v>
      </c>
      <c r="E202" t="n">
        <v>33</v>
      </c>
      <c r="F202" t="n">
        <v>196</v>
      </c>
      <c r="G202" t="n">
        <v>38</v>
      </c>
      <c r="H202" t="inlineStr">
        <is>
          <t>custom</t>
        </is>
      </c>
      <c r="I202" t="n">
        <v>10</v>
      </c>
      <c r="J202" t="n">
        <v>1</v>
      </c>
      <c r="K202" t="n">
        <v>0</v>
      </c>
      <c r="L202" t="n">
        <v>0</v>
      </c>
      <c r="N202" t="inlineStr">
        <is>
          <t>FFFFFF</t>
        </is>
      </c>
      <c r="O202" t="inlineStr">
        <is>
          <t>L</t>
        </is>
      </c>
      <c r="P202" s="1" t="n"/>
      <c r="Q202" t="n">
        <v>1</v>
      </c>
      <c r="R202" t="b">
        <v>0</v>
      </c>
      <c r="S202" t="inlineStr">
        <is>
          <t xml:space="preserve"> </t>
        </is>
      </c>
      <c r="T202" t="n">
        <v>0</v>
      </c>
    </row>
    <row r="203">
      <c r="A203" t="inlineStr">
        <is>
          <t>thresholds image</t>
        </is>
      </c>
      <c r="B203" t="n">
        <v>12</v>
      </c>
      <c r="C203" t="inlineStr">
        <is>
          <t>I</t>
        </is>
      </c>
      <c r="D203" t="n">
        <v>40</v>
      </c>
      <c r="E203" t="n">
        <v>40</v>
      </c>
      <c r="F203" t="n">
        <v>104</v>
      </c>
      <c r="G203" t="n">
        <v>81</v>
      </c>
      <c r="I203" t="n">
        <v>1</v>
      </c>
      <c r="J203" t="n">
        <v>0</v>
      </c>
      <c r="K203" t="n">
        <v>0</v>
      </c>
      <c r="L203" t="n">
        <v>0</v>
      </c>
      <c r="M203" t="inlineStr">
        <is>
          <t>CCCCCCC</t>
        </is>
      </c>
      <c r="N203" t="inlineStr">
        <is>
          <t>FFFFFF</t>
        </is>
      </c>
      <c r="O203" t="inlineStr">
        <is>
          <t>L</t>
        </is>
      </c>
      <c r="P203" t="inlineStr">
        <is>
          <t>configuration/assets/illustrative density thresholds - population - no text.svg</t>
        </is>
      </c>
      <c r="Q203" t="n">
        <v>2</v>
      </c>
      <c r="R203" t="b">
        <v>0</v>
      </c>
      <c r="S203" t="inlineStr">
        <is>
          <t xml:space="preserve"> </t>
        </is>
      </c>
      <c r="T203" t="n">
        <v>0</v>
      </c>
    </row>
    <row r="204">
      <c r="A204" s="25" t="inlineStr">
        <is>
          <t>pct_100</t>
        </is>
      </c>
      <c r="B204" t="n">
        <v>12</v>
      </c>
      <c r="C204" t="inlineStr">
        <is>
          <t>T</t>
        </is>
      </c>
      <c r="D204" t="n">
        <v>14</v>
      </c>
      <c r="E204" t="n">
        <v>38</v>
      </c>
      <c r="F204" t="n">
        <v>40</v>
      </c>
      <c r="G204" t="n">
        <v>43</v>
      </c>
      <c r="H204" t="inlineStr">
        <is>
          <t>custom</t>
        </is>
      </c>
      <c r="I204" t="n">
        <v>10</v>
      </c>
      <c r="J204" t="n">
        <v>0</v>
      </c>
      <c r="K204" t="n">
        <v>0</v>
      </c>
      <c r="L204" t="n">
        <v>0</v>
      </c>
      <c r="N204" t="inlineStr">
        <is>
          <t>FFFFFF</t>
        </is>
      </c>
      <c r="O204" t="inlineStr">
        <is>
          <t>R</t>
        </is>
      </c>
      <c r="P204" s="26" t="n"/>
      <c r="Q204" t="n">
        <v>3</v>
      </c>
      <c r="R204" t="b">
        <v>0</v>
      </c>
      <c r="S204" t="inlineStr">
        <is>
          <t xml:space="preserve"> </t>
        </is>
      </c>
      <c r="T204" t="n">
        <v>0</v>
      </c>
    </row>
    <row r="205">
      <c r="A205" t="inlineStr">
        <is>
          <t>pct_80</t>
        </is>
      </c>
      <c r="B205" t="n">
        <v>12</v>
      </c>
      <c r="C205" t="inlineStr">
        <is>
          <t>T</t>
        </is>
      </c>
      <c r="D205" t="n">
        <v>14</v>
      </c>
      <c r="E205" t="n">
        <v>46</v>
      </c>
      <c r="F205" t="n">
        <v>40</v>
      </c>
      <c r="G205" t="n">
        <v>51</v>
      </c>
      <c r="H205" t="inlineStr">
        <is>
          <t>custom</t>
        </is>
      </c>
      <c r="I205" t="n">
        <v>10</v>
      </c>
      <c r="J205" t="n">
        <v>0</v>
      </c>
      <c r="K205" t="n">
        <v>0</v>
      </c>
      <c r="L205" t="n">
        <v>0</v>
      </c>
      <c r="N205" t="inlineStr">
        <is>
          <t>FFFFFF</t>
        </is>
      </c>
      <c r="O205" t="inlineStr">
        <is>
          <t>R</t>
        </is>
      </c>
      <c r="P205" s="26" t="n"/>
      <c r="Q205" t="n">
        <v>3</v>
      </c>
      <c r="R205" t="b">
        <v>0</v>
      </c>
      <c r="S205" t="inlineStr">
        <is>
          <t xml:space="preserve"> </t>
        </is>
      </c>
      <c r="T205" t="n">
        <v>0</v>
      </c>
    </row>
    <row r="206">
      <c r="A206" t="inlineStr">
        <is>
          <t>pct_60</t>
        </is>
      </c>
      <c r="B206" t="n">
        <v>12</v>
      </c>
      <c r="C206" t="inlineStr">
        <is>
          <t>T</t>
        </is>
      </c>
      <c r="D206" t="n">
        <v>14</v>
      </c>
      <c r="E206" t="n">
        <v>54</v>
      </c>
      <c r="F206" t="n">
        <v>40</v>
      </c>
      <c r="G206" t="n">
        <v>59</v>
      </c>
      <c r="H206" t="inlineStr">
        <is>
          <t>custom</t>
        </is>
      </c>
      <c r="I206" t="n">
        <v>10</v>
      </c>
      <c r="J206" t="n">
        <v>0</v>
      </c>
      <c r="K206" t="n">
        <v>0</v>
      </c>
      <c r="L206" t="n">
        <v>0</v>
      </c>
      <c r="N206" t="inlineStr">
        <is>
          <t>FFFFFF</t>
        </is>
      </c>
      <c r="O206" t="inlineStr">
        <is>
          <t>R</t>
        </is>
      </c>
      <c r="P206" s="26" t="n"/>
      <c r="Q206" t="n">
        <v>3</v>
      </c>
      <c r="R206" t="b">
        <v>0</v>
      </c>
      <c r="S206" t="inlineStr">
        <is>
          <t xml:space="preserve"> </t>
        </is>
      </c>
      <c r="T206" t="n">
        <v>0</v>
      </c>
    </row>
    <row r="207">
      <c r="A207" t="inlineStr">
        <is>
          <t>pct_40</t>
        </is>
      </c>
      <c r="B207" t="n">
        <v>12</v>
      </c>
      <c r="C207" t="inlineStr">
        <is>
          <t>T</t>
        </is>
      </c>
      <c r="D207" t="n">
        <v>14</v>
      </c>
      <c r="E207" t="n">
        <v>62</v>
      </c>
      <c r="F207" t="n">
        <v>40</v>
      </c>
      <c r="G207" t="n">
        <v>67</v>
      </c>
      <c r="H207" t="inlineStr">
        <is>
          <t>custom</t>
        </is>
      </c>
      <c r="I207" t="n">
        <v>10</v>
      </c>
      <c r="J207" t="n">
        <v>0</v>
      </c>
      <c r="K207" t="n">
        <v>0</v>
      </c>
      <c r="L207" t="n">
        <v>0</v>
      </c>
      <c r="N207" t="inlineStr">
        <is>
          <t>FFFFFF</t>
        </is>
      </c>
      <c r="O207" t="inlineStr">
        <is>
          <t>R</t>
        </is>
      </c>
      <c r="P207" s="26" t="n"/>
      <c r="Q207" t="n">
        <v>3</v>
      </c>
      <c r="R207" t="b">
        <v>0</v>
      </c>
      <c r="S207" t="inlineStr">
        <is>
          <t xml:space="preserve"> </t>
        </is>
      </c>
      <c r="T207" t="n">
        <v>0</v>
      </c>
    </row>
    <row r="208">
      <c r="A208" t="inlineStr">
        <is>
          <t>pct_20</t>
        </is>
      </c>
      <c r="B208" t="n">
        <v>12</v>
      </c>
      <c r="C208" t="inlineStr">
        <is>
          <t>T</t>
        </is>
      </c>
      <c r="D208" t="n">
        <v>14</v>
      </c>
      <c r="E208" t="n">
        <v>70</v>
      </c>
      <c r="F208" t="n">
        <v>40</v>
      </c>
      <c r="G208" t="n">
        <v>75</v>
      </c>
      <c r="H208" t="inlineStr">
        <is>
          <t>custom</t>
        </is>
      </c>
      <c r="I208" t="n">
        <v>10</v>
      </c>
      <c r="J208" t="n">
        <v>0</v>
      </c>
      <c r="K208" t="n">
        <v>0</v>
      </c>
      <c r="L208" t="n">
        <v>0</v>
      </c>
      <c r="N208" t="inlineStr">
        <is>
          <t>FFFFFF</t>
        </is>
      </c>
      <c r="O208" t="inlineStr">
        <is>
          <t>R</t>
        </is>
      </c>
      <c r="P208" s="26" t="n"/>
      <c r="Q208" t="n">
        <v>3</v>
      </c>
      <c r="R208" t="b">
        <v>0</v>
      </c>
      <c r="S208" t="inlineStr">
        <is>
          <t xml:space="preserve"> </t>
        </is>
      </c>
      <c r="T208" t="n">
        <v>0</v>
      </c>
    </row>
    <row r="209">
      <c r="A209" t="inlineStr">
        <is>
          <t>pct_0</t>
        </is>
      </c>
      <c r="B209" t="n">
        <v>12</v>
      </c>
      <c r="C209" t="inlineStr">
        <is>
          <t>T</t>
        </is>
      </c>
      <c r="D209" t="n">
        <v>14</v>
      </c>
      <c r="E209" t="n">
        <v>78</v>
      </c>
      <c r="F209" t="n">
        <v>40</v>
      </c>
      <c r="G209" t="n">
        <v>83</v>
      </c>
      <c r="H209" t="inlineStr">
        <is>
          <t>custom</t>
        </is>
      </c>
      <c r="I209" t="n">
        <v>10</v>
      </c>
      <c r="J209" t="n">
        <v>0</v>
      </c>
      <c r="K209" t="n">
        <v>0</v>
      </c>
      <c r="L209" t="n">
        <v>0</v>
      </c>
      <c r="N209" t="inlineStr">
        <is>
          <t>FFFFFF</t>
        </is>
      </c>
      <c r="O209" t="inlineStr">
        <is>
          <t>R</t>
        </is>
      </c>
      <c r="P209" s="26" t="n"/>
      <c r="Q209" t="n">
        <v>3</v>
      </c>
      <c r="R209" t="b">
        <v>0</v>
      </c>
      <c r="S209" t="inlineStr">
        <is>
          <t xml:space="preserve"> </t>
        </is>
      </c>
      <c r="T209" t="n">
        <v>0</v>
      </c>
    </row>
    <row r="210">
      <c r="A210" t="inlineStr">
        <is>
          <t>thresholds attribution</t>
        </is>
      </c>
      <c r="B210" t="n">
        <v>12</v>
      </c>
      <c r="C210" t="inlineStr">
        <is>
          <t>T</t>
        </is>
      </c>
      <c r="D210" t="n">
        <v>109</v>
      </c>
      <c r="E210" t="n">
        <v>45</v>
      </c>
      <c r="F210" t="n">
        <v>196</v>
      </c>
      <c r="G210" t="n">
        <v>48</v>
      </c>
      <c r="H210" t="inlineStr">
        <is>
          <t>custom</t>
        </is>
      </c>
      <c r="I210" t="n">
        <v>8</v>
      </c>
      <c r="J210" t="n">
        <v>0</v>
      </c>
      <c r="K210" t="n">
        <v>0</v>
      </c>
      <c r="L210" t="n">
        <v>0</v>
      </c>
      <c r="M210" t="inlineStr">
        <is>
          <t>584b9f</t>
        </is>
      </c>
      <c r="O210" t="inlineStr">
        <is>
          <t>L</t>
        </is>
      </c>
      <c r="P210" t="inlineStr">
        <is>
          <t>Adapted from The Lancet Global Health (2022): https://www.thelancet.com/infographics-do/urban-design-2022</t>
        </is>
      </c>
      <c r="Q210" t="n">
        <v>3</v>
      </c>
      <c r="R210" t="b">
        <v>1</v>
      </c>
      <c r="S210" t="inlineStr">
        <is>
          <t xml:space="preserve"> </t>
        </is>
      </c>
      <c r="T210" t="n">
        <v>0</v>
      </c>
    </row>
    <row r="211">
      <c r="A211" t="inlineStr">
        <is>
          <t>threshold population</t>
        </is>
      </c>
      <c r="B211" t="n">
        <v>12</v>
      </c>
      <c r="C211" t="inlineStr">
        <is>
          <t>T</t>
        </is>
      </c>
      <c r="D211" t="n">
        <v>56</v>
      </c>
      <c r="E211" t="n">
        <v>82</v>
      </c>
      <c r="F211" t="n">
        <v>196</v>
      </c>
      <c r="G211" t="n">
        <v>90</v>
      </c>
      <c r="H211" t="inlineStr">
        <is>
          <t>custom</t>
        </is>
      </c>
      <c r="I211" t="n">
        <v>12</v>
      </c>
      <c r="J211" t="n">
        <v>0</v>
      </c>
      <c r="K211" t="n">
        <v>0</v>
      </c>
      <c r="L211" t="n">
        <v>0</v>
      </c>
      <c r="M211" t="inlineStr">
        <is>
          <t>584b9f</t>
        </is>
      </c>
      <c r="N211" t="inlineStr">
        <is>
          <t>FFFFFF</t>
        </is>
      </c>
      <c r="O211" t="inlineStr">
        <is>
          <t>L</t>
        </is>
      </c>
      <c r="Q211" t="n">
        <v>3</v>
      </c>
      <c r="R211" t="b">
        <v>1</v>
      </c>
      <c r="S211" t="inlineStr">
        <is>
          <t xml:space="preserve"> </t>
        </is>
      </c>
      <c r="T211" t="n">
        <v>0</v>
      </c>
    </row>
    <row r="212">
      <c r="A212" t="inlineStr">
        <is>
          <t>line1</t>
        </is>
      </c>
      <c r="B212" t="n">
        <v>12</v>
      </c>
      <c r="C212" t="inlineStr">
        <is>
          <t>L</t>
        </is>
      </c>
      <c r="D212" t="n">
        <v>30</v>
      </c>
      <c r="E212" t="n">
        <v>100</v>
      </c>
      <c r="F212" t="n">
        <v>170</v>
      </c>
      <c r="G212" t="n">
        <v>100</v>
      </c>
      <c r="I212" t="n">
        <v>0</v>
      </c>
      <c r="J212" t="n">
        <v>0</v>
      </c>
      <c r="K212" t="n">
        <v>0</v>
      </c>
      <c r="L212" t="n">
        <v>0</v>
      </c>
      <c r="N212" t="inlineStr">
        <is>
          <t>FFFFFF</t>
        </is>
      </c>
      <c r="O212" t="inlineStr">
        <is>
          <t>L</t>
        </is>
      </c>
      <c r="Q212" t="n">
        <v>2</v>
      </c>
      <c r="R212" t="b">
        <v>0</v>
      </c>
      <c r="S212" t="inlineStr">
        <is>
          <t xml:space="preserve"> </t>
        </is>
      </c>
      <c r="T212" t="n">
        <v>0</v>
      </c>
    </row>
    <row r="213">
      <c r="A213" t="inlineStr">
        <is>
          <t>local_nh_population_density</t>
        </is>
      </c>
      <c r="B213" t="n">
        <v>12</v>
      </c>
      <c r="C213" t="inlineStr">
        <is>
          <t>I</t>
        </is>
      </c>
      <c r="D213" t="n">
        <v>20</v>
      </c>
      <c r="E213" t="n">
        <v>140</v>
      </c>
      <c r="F213" t="n">
        <v>180</v>
      </c>
      <c r="G213" t="n">
        <v>285</v>
      </c>
      <c r="I213" t="n">
        <v>0</v>
      </c>
      <c r="J213" t="n">
        <v>0</v>
      </c>
      <c r="K213" t="n">
        <v>0</v>
      </c>
      <c r="L213" t="n">
        <v>0</v>
      </c>
      <c r="N213" t="inlineStr">
        <is>
          <t>FFFFFF</t>
        </is>
      </c>
      <c r="O213" t="inlineStr">
        <is>
          <t>L</t>
        </is>
      </c>
      <c r="Q213" t="n">
        <v>2</v>
      </c>
      <c r="R213" t="b">
        <v>0</v>
      </c>
      <c r="S213" t="inlineStr">
        <is>
          <t xml:space="preserve"> </t>
        </is>
      </c>
      <c r="T213" t="n">
        <v>0</v>
      </c>
    </row>
    <row r="214">
      <c r="A214" t="inlineStr">
        <is>
          <t>Mean 1000 m neighbourhood population per km²</t>
        </is>
      </c>
      <c r="B214" t="n">
        <v>12</v>
      </c>
      <c r="C214" t="inlineStr">
        <is>
          <t>T</t>
        </is>
      </c>
      <c r="D214" t="n">
        <v>14</v>
      </c>
      <c r="E214" t="n">
        <v>110</v>
      </c>
      <c r="F214" t="n">
        <v>196</v>
      </c>
      <c r="G214" t="n">
        <v>118</v>
      </c>
      <c r="H214" t="inlineStr">
        <is>
          <t>custom</t>
        </is>
      </c>
      <c r="I214" t="n">
        <v>14</v>
      </c>
      <c r="J214" t="n">
        <v>0</v>
      </c>
      <c r="K214" t="n">
        <v>0</v>
      </c>
      <c r="L214" t="n">
        <v>0</v>
      </c>
      <c r="M214" t="inlineStr">
        <is>
          <t>584b9f</t>
        </is>
      </c>
      <c r="N214" t="inlineStr">
        <is>
          <t>FFFFFF</t>
        </is>
      </c>
      <c r="O214" t="inlineStr">
        <is>
          <t>C</t>
        </is>
      </c>
      <c r="Q214" t="n">
        <v>3</v>
      </c>
      <c r="R214" t="b">
        <v>1</v>
      </c>
      <c r="S214" t="inlineStr">
        <is>
          <t xml:space="preserve"> </t>
        </is>
      </c>
      <c r="T214" t="n">
        <v>0</v>
      </c>
    </row>
    <row r="215">
      <c r="A215" t="inlineStr">
        <is>
          <t>Neighbourhood intersection density (per km²)</t>
        </is>
      </c>
      <c r="B215" t="n">
        <v>13</v>
      </c>
      <c r="C215" t="inlineStr">
        <is>
          <t>T</t>
        </is>
      </c>
      <c r="D215" t="n">
        <v>14</v>
      </c>
      <c r="E215" t="n">
        <v>20</v>
      </c>
      <c r="F215" t="n">
        <v>180</v>
      </c>
      <c r="G215" t="n">
        <v>25</v>
      </c>
      <c r="H215" t="inlineStr">
        <is>
          <t>custom</t>
        </is>
      </c>
      <c r="I215" t="n">
        <v>12</v>
      </c>
      <c r="J215" t="n">
        <v>1</v>
      </c>
      <c r="K215" t="n">
        <v>0</v>
      </c>
      <c r="L215" t="n">
        <v>0</v>
      </c>
      <c r="N215" t="inlineStr">
        <is>
          <t>FFFFFF</t>
        </is>
      </c>
      <c r="O215" t="inlineStr">
        <is>
          <t>L</t>
        </is>
      </c>
      <c r="Q215" t="n">
        <v>3</v>
      </c>
      <c r="R215" t="b">
        <v>0</v>
      </c>
      <c r="S215" t="inlineStr">
        <is>
          <t xml:space="preserve"> </t>
        </is>
      </c>
      <c r="T215" t="n">
        <v>0</v>
      </c>
    </row>
    <row r="216">
      <c r="A216" t="inlineStr">
        <is>
          <t>threshold scale text</t>
        </is>
      </c>
      <c r="B216" t="n">
        <v>13</v>
      </c>
      <c r="C216" t="inlineStr">
        <is>
          <t>T</t>
        </is>
      </c>
      <c r="D216" t="n">
        <v>29</v>
      </c>
      <c r="E216" t="n">
        <v>33</v>
      </c>
      <c r="F216" t="n">
        <v>196</v>
      </c>
      <c r="G216" t="n">
        <v>38</v>
      </c>
      <c r="H216" t="inlineStr">
        <is>
          <t>custom</t>
        </is>
      </c>
      <c r="I216" t="n">
        <v>10</v>
      </c>
      <c r="J216" t="n">
        <v>1</v>
      </c>
      <c r="K216" t="n">
        <v>0</v>
      </c>
      <c r="L216" t="n">
        <v>0</v>
      </c>
      <c r="N216" t="inlineStr">
        <is>
          <t>FFFFFF</t>
        </is>
      </c>
      <c r="O216" t="inlineStr">
        <is>
          <t>L</t>
        </is>
      </c>
      <c r="P216" s="1" t="n"/>
      <c r="Q216" t="n">
        <v>1</v>
      </c>
      <c r="R216" t="b">
        <v>0</v>
      </c>
      <c r="S216" t="inlineStr">
        <is>
          <t xml:space="preserve"> </t>
        </is>
      </c>
      <c r="T216" t="n">
        <v>0</v>
      </c>
    </row>
    <row r="217">
      <c r="A217" t="inlineStr">
        <is>
          <t>thresholds image</t>
        </is>
      </c>
      <c r="B217" t="n">
        <v>13</v>
      </c>
      <c r="C217" t="inlineStr">
        <is>
          <t>I</t>
        </is>
      </c>
      <c r="D217" t="n">
        <v>40</v>
      </c>
      <c r="E217" t="n">
        <v>40</v>
      </c>
      <c r="F217" t="n">
        <v>104</v>
      </c>
      <c r="G217" t="n">
        <v>81</v>
      </c>
      <c r="I217" t="n">
        <v>1</v>
      </c>
      <c r="J217" t="n">
        <v>0</v>
      </c>
      <c r="K217" t="n">
        <v>0</v>
      </c>
      <c r="L217" t="n">
        <v>0</v>
      </c>
      <c r="M217" t="inlineStr">
        <is>
          <t>CCCCCCC</t>
        </is>
      </c>
      <c r="N217" t="inlineStr">
        <is>
          <t>FFFFFF</t>
        </is>
      </c>
      <c r="O217" t="inlineStr">
        <is>
          <t>L</t>
        </is>
      </c>
      <c r="P217" t="inlineStr">
        <is>
          <t>configuration/assets/illustrative density thresholds - intersections - no text.svg</t>
        </is>
      </c>
      <c r="Q217" t="n">
        <v>2</v>
      </c>
      <c r="R217" t="b">
        <v>0</v>
      </c>
      <c r="S217" t="inlineStr">
        <is>
          <t xml:space="preserve"> </t>
        </is>
      </c>
      <c r="T217" t="n">
        <v>0</v>
      </c>
    </row>
    <row r="218">
      <c r="A218" s="25" t="inlineStr">
        <is>
          <t>pct_100</t>
        </is>
      </c>
      <c r="B218" t="n">
        <v>13</v>
      </c>
      <c r="C218" t="inlineStr">
        <is>
          <t>T</t>
        </is>
      </c>
      <c r="D218" t="n">
        <v>14</v>
      </c>
      <c r="E218" t="n">
        <v>38</v>
      </c>
      <c r="F218" t="n">
        <v>40</v>
      </c>
      <c r="G218" t="n">
        <v>43</v>
      </c>
      <c r="H218" t="inlineStr">
        <is>
          <t>custom</t>
        </is>
      </c>
      <c r="I218" t="n">
        <v>10</v>
      </c>
      <c r="J218" t="n">
        <v>0</v>
      </c>
      <c r="K218" t="n">
        <v>0</v>
      </c>
      <c r="L218" t="n">
        <v>0</v>
      </c>
      <c r="N218" t="inlineStr">
        <is>
          <t>FFFFFF</t>
        </is>
      </c>
      <c r="O218" t="inlineStr">
        <is>
          <t>R</t>
        </is>
      </c>
      <c r="P218" s="26" t="n"/>
      <c r="Q218" t="n">
        <v>3</v>
      </c>
      <c r="R218" t="b">
        <v>0</v>
      </c>
      <c r="S218" t="inlineStr">
        <is>
          <t xml:space="preserve"> </t>
        </is>
      </c>
      <c r="T218" t="n">
        <v>0</v>
      </c>
    </row>
    <row r="219">
      <c r="A219" t="inlineStr">
        <is>
          <t>pct_80</t>
        </is>
      </c>
      <c r="B219" t="n">
        <v>13</v>
      </c>
      <c r="C219" t="inlineStr">
        <is>
          <t>T</t>
        </is>
      </c>
      <c r="D219" t="n">
        <v>14</v>
      </c>
      <c r="E219" t="n">
        <v>46</v>
      </c>
      <c r="F219" t="n">
        <v>40</v>
      </c>
      <c r="G219" t="n">
        <v>51</v>
      </c>
      <c r="H219" t="inlineStr">
        <is>
          <t>custom</t>
        </is>
      </c>
      <c r="I219" t="n">
        <v>10</v>
      </c>
      <c r="J219" t="n">
        <v>0</v>
      </c>
      <c r="K219" t="n">
        <v>0</v>
      </c>
      <c r="L219" t="n">
        <v>0</v>
      </c>
      <c r="N219" t="inlineStr">
        <is>
          <t>FFFFFF</t>
        </is>
      </c>
      <c r="O219" t="inlineStr">
        <is>
          <t>R</t>
        </is>
      </c>
      <c r="P219" s="26" t="n"/>
      <c r="Q219" t="n">
        <v>3</v>
      </c>
      <c r="R219" t="b">
        <v>0</v>
      </c>
      <c r="S219" t="inlineStr">
        <is>
          <t xml:space="preserve"> </t>
        </is>
      </c>
      <c r="T219" t="n">
        <v>0</v>
      </c>
    </row>
    <row r="220">
      <c r="A220" t="inlineStr">
        <is>
          <t>pct_60</t>
        </is>
      </c>
      <c r="B220" t="n">
        <v>13</v>
      </c>
      <c r="C220" t="inlineStr">
        <is>
          <t>T</t>
        </is>
      </c>
      <c r="D220" t="n">
        <v>14</v>
      </c>
      <c r="E220" t="n">
        <v>54</v>
      </c>
      <c r="F220" t="n">
        <v>40</v>
      </c>
      <c r="G220" t="n">
        <v>59</v>
      </c>
      <c r="H220" t="inlineStr">
        <is>
          <t>custom</t>
        </is>
      </c>
      <c r="I220" t="n">
        <v>10</v>
      </c>
      <c r="J220" t="n">
        <v>0</v>
      </c>
      <c r="K220" t="n">
        <v>0</v>
      </c>
      <c r="L220" t="n">
        <v>0</v>
      </c>
      <c r="N220" t="inlineStr">
        <is>
          <t>FFFFFF</t>
        </is>
      </c>
      <c r="O220" t="inlineStr">
        <is>
          <t>R</t>
        </is>
      </c>
      <c r="P220" s="26" t="n"/>
      <c r="Q220" t="n">
        <v>3</v>
      </c>
      <c r="R220" t="b">
        <v>0</v>
      </c>
      <c r="S220" t="inlineStr">
        <is>
          <t xml:space="preserve"> </t>
        </is>
      </c>
      <c r="T220" t="n">
        <v>0</v>
      </c>
    </row>
    <row r="221">
      <c r="A221" t="inlineStr">
        <is>
          <t>pct_40</t>
        </is>
      </c>
      <c r="B221" t="n">
        <v>13</v>
      </c>
      <c r="C221" t="inlineStr">
        <is>
          <t>T</t>
        </is>
      </c>
      <c r="D221" t="n">
        <v>14</v>
      </c>
      <c r="E221" t="n">
        <v>62</v>
      </c>
      <c r="F221" t="n">
        <v>40</v>
      </c>
      <c r="G221" t="n">
        <v>67</v>
      </c>
      <c r="H221" t="inlineStr">
        <is>
          <t>custom</t>
        </is>
      </c>
      <c r="I221" t="n">
        <v>10</v>
      </c>
      <c r="J221" t="n">
        <v>0</v>
      </c>
      <c r="K221" t="n">
        <v>0</v>
      </c>
      <c r="L221" t="n">
        <v>0</v>
      </c>
      <c r="N221" t="inlineStr">
        <is>
          <t>FFFFFF</t>
        </is>
      </c>
      <c r="O221" t="inlineStr">
        <is>
          <t>R</t>
        </is>
      </c>
      <c r="P221" s="26" t="n"/>
      <c r="Q221" t="n">
        <v>3</v>
      </c>
      <c r="R221" t="b">
        <v>0</v>
      </c>
      <c r="S221" t="inlineStr">
        <is>
          <t xml:space="preserve"> </t>
        </is>
      </c>
      <c r="T221" t="n">
        <v>0</v>
      </c>
    </row>
    <row r="222">
      <c r="A222" t="inlineStr">
        <is>
          <t>pct_20</t>
        </is>
      </c>
      <c r="B222" t="n">
        <v>13</v>
      </c>
      <c r="C222" t="inlineStr">
        <is>
          <t>T</t>
        </is>
      </c>
      <c r="D222" t="n">
        <v>14</v>
      </c>
      <c r="E222" t="n">
        <v>70</v>
      </c>
      <c r="F222" t="n">
        <v>40</v>
      </c>
      <c r="G222" t="n">
        <v>75</v>
      </c>
      <c r="H222" t="inlineStr">
        <is>
          <t>custom</t>
        </is>
      </c>
      <c r="I222" t="n">
        <v>10</v>
      </c>
      <c r="J222" t="n">
        <v>0</v>
      </c>
      <c r="K222" t="n">
        <v>0</v>
      </c>
      <c r="L222" t="n">
        <v>0</v>
      </c>
      <c r="N222" t="inlineStr">
        <is>
          <t>FFFFFF</t>
        </is>
      </c>
      <c r="O222" t="inlineStr">
        <is>
          <t>R</t>
        </is>
      </c>
      <c r="P222" s="26" t="n"/>
      <c r="Q222" t="n">
        <v>3</v>
      </c>
      <c r="R222" t="b">
        <v>0</v>
      </c>
      <c r="S222" t="inlineStr">
        <is>
          <t xml:space="preserve"> </t>
        </is>
      </c>
      <c r="T222" t="n">
        <v>0</v>
      </c>
    </row>
    <row r="223">
      <c r="A223" t="inlineStr">
        <is>
          <t>pct_0</t>
        </is>
      </c>
      <c r="B223" t="n">
        <v>13</v>
      </c>
      <c r="C223" t="inlineStr">
        <is>
          <t>T</t>
        </is>
      </c>
      <c r="D223" t="n">
        <v>14</v>
      </c>
      <c r="E223" t="n">
        <v>78</v>
      </c>
      <c r="F223" t="n">
        <v>40</v>
      </c>
      <c r="G223" t="n">
        <v>83</v>
      </c>
      <c r="H223" t="inlineStr">
        <is>
          <t>custom</t>
        </is>
      </c>
      <c r="I223" t="n">
        <v>10</v>
      </c>
      <c r="J223" t="n">
        <v>0</v>
      </c>
      <c r="K223" t="n">
        <v>0</v>
      </c>
      <c r="L223" t="n">
        <v>0</v>
      </c>
      <c r="N223" t="inlineStr">
        <is>
          <t>FFFFFF</t>
        </is>
      </c>
      <c r="O223" t="inlineStr">
        <is>
          <t>R</t>
        </is>
      </c>
      <c r="P223" s="26" t="n"/>
      <c r="Q223" t="n">
        <v>3</v>
      </c>
      <c r="R223" t="b">
        <v>0</v>
      </c>
      <c r="S223" t="inlineStr">
        <is>
          <t xml:space="preserve"> </t>
        </is>
      </c>
      <c r="T223" t="n">
        <v>0</v>
      </c>
    </row>
    <row r="224">
      <c r="A224" t="inlineStr">
        <is>
          <t>thresholds attribution</t>
        </is>
      </c>
      <c r="B224" t="n">
        <v>13</v>
      </c>
      <c r="C224" t="inlineStr">
        <is>
          <t>T</t>
        </is>
      </c>
      <c r="D224" t="n">
        <v>109</v>
      </c>
      <c r="E224" t="n">
        <v>45</v>
      </c>
      <c r="F224" t="n">
        <v>196</v>
      </c>
      <c r="G224" t="n">
        <v>48</v>
      </c>
      <c r="H224" t="inlineStr">
        <is>
          <t>custom</t>
        </is>
      </c>
      <c r="I224" t="n">
        <v>8</v>
      </c>
      <c r="J224" t="n">
        <v>0</v>
      </c>
      <c r="K224" t="n">
        <v>0</v>
      </c>
      <c r="L224" t="n">
        <v>0</v>
      </c>
      <c r="M224" t="inlineStr">
        <is>
          <t>584b9f</t>
        </is>
      </c>
      <c r="O224" t="inlineStr">
        <is>
          <t>L</t>
        </is>
      </c>
      <c r="P224" t="inlineStr">
        <is>
          <t>Adapted from The Lancet Global Health (2022): https://www.thelancet.com/infographics-do/urban-design-2022</t>
        </is>
      </c>
      <c r="Q224" t="n">
        <v>3</v>
      </c>
      <c r="R224" t="b">
        <v>1</v>
      </c>
      <c r="S224" t="inlineStr">
        <is>
          <t xml:space="preserve"> </t>
        </is>
      </c>
      <c r="T224" t="n">
        <v>0</v>
      </c>
    </row>
    <row r="225">
      <c r="A225" t="inlineStr">
        <is>
          <t>threshold intersections</t>
        </is>
      </c>
      <c r="B225" t="n">
        <v>13</v>
      </c>
      <c r="C225" t="inlineStr">
        <is>
          <t>T</t>
        </is>
      </c>
      <c r="D225" t="n">
        <v>56</v>
      </c>
      <c r="E225" t="n">
        <v>82</v>
      </c>
      <c r="F225" t="n">
        <v>196</v>
      </c>
      <c r="G225" t="n">
        <v>90</v>
      </c>
      <c r="H225" t="inlineStr">
        <is>
          <t>custom</t>
        </is>
      </c>
      <c r="I225" t="n">
        <v>12</v>
      </c>
      <c r="J225" t="n">
        <v>0</v>
      </c>
      <c r="K225" t="n">
        <v>0</v>
      </c>
      <c r="L225" t="n">
        <v>0</v>
      </c>
      <c r="M225" t="inlineStr">
        <is>
          <t>92D050</t>
        </is>
      </c>
      <c r="N225" t="inlineStr">
        <is>
          <t>FFFFFF</t>
        </is>
      </c>
      <c r="O225" t="inlineStr">
        <is>
          <t>L</t>
        </is>
      </c>
      <c r="Q225" t="n">
        <v>3</v>
      </c>
      <c r="R225" t="b">
        <v>1</v>
      </c>
      <c r="S225" t="inlineStr">
        <is>
          <t xml:space="preserve"> </t>
        </is>
      </c>
      <c r="T225" t="n">
        <v>0</v>
      </c>
    </row>
    <row r="226">
      <c r="A226" t="inlineStr">
        <is>
          <t>line1</t>
        </is>
      </c>
      <c r="B226" t="n">
        <v>13</v>
      </c>
      <c r="C226" t="inlineStr">
        <is>
          <t>L</t>
        </is>
      </c>
      <c r="D226" t="n">
        <v>30</v>
      </c>
      <c r="E226" t="n">
        <v>100</v>
      </c>
      <c r="F226" t="n">
        <v>170</v>
      </c>
      <c r="G226" t="n">
        <v>100</v>
      </c>
      <c r="I226" t="n">
        <v>0</v>
      </c>
      <c r="J226" t="n">
        <v>0</v>
      </c>
      <c r="K226" t="n">
        <v>0</v>
      </c>
      <c r="L226" t="n">
        <v>0</v>
      </c>
      <c r="N226" t="inlineStr">
        <is>
          <t>FFFFFF</t>
        </is>
      </c>
      <c r="O226" t="inlineStr">
        <is>
          <t>L</t>
        </is>
      </c>
      <c r="Q226" t="n">
        <v>2</v>
      </c>
      <c r="R226" t="b">
        <v>0</v>
      </c>
      <c r="S226" t="inlineStr">
        <is>
          <t xml:space="preserve"> </t>
        </is>
      </c>
      <c r="T226" t="n">
        <v>0</v>
      </c>
    </row>
    <row r="227">
      <c r="A227" t="inlineStr">
        <is>
          <t>local_nh_intersection_density</t>
        </is>
      </c>
      <c r="B227" t="n">
        <v>13</v>
      </c>
      <c r="C227" t="inlineStr">
        <is>
          <t>I</t>
        </is>
      </c>
      <c r="D227" t="n">
        <v>20</v>
      </c>
      <c r="E227" t="n">
        <v>140</v>
      </c>
      <c r="F227" t="n">
        <v>180</v>
      </c>
      <c r="G227" t="n">
        <v>285</v>
      </c>
      <c r="I227" t="n">
        <v>0</v>
      </c>
      <c r="J227" t="n">
        <v>0</v>
      </c>
      <c r="K227" t="n">
        <v>0</v>
      </c>
      <c r="L227" t="n">
        <v>0</v>
      </c>
      <c r="N227" t="inlineStr">
        <is>
          <t>FFFFFF</t>
        </is>
      </c>
      <c r="O227" t="inlineStr">
        <is>
          <t>L</t>
        </is>
      </c>
      <c r="Q227" t="n">
        <v>2</v>
      </c>
      <c r="R227" t="b">
        <v>0</v>
      </c>
      <c r="S227" t="inlineStr">
        <is>
          <t xml:space="preserve"> </t>
        </is>
      </c>
      <c r="T227" t="n">
        <v>0</v>
      </c>
    </row>
    <row r="228">
      <c r="A228" t="inlineStr">
        <is>
          <t>Mean 1000 m neighbourhood street intersections per km²</t>
        </is>
      </c>
      <c r="B228" t="n">
        <v>13</v>
      </c>
      <c r="C228" t="inlineStr">
        <is>
          <t>T</t>
        </is>
      </c>
      <c r="D228" t="n">
        <v>14</v>
      </c>
      <c r="E228" t="n">
        <v>110</v>
      </c>
      <c r="F228" t="n">
        <v>196</v>
      </c>
      <c r="G228" t="n">
        <v>118</v>
      </c>
      <c r="H228" t="inlineStr">
        <is>
          <t>custom</t>
        </is>
      </c>
      <c r="I228" t="n">
        <v>14</v>
      </c>
      <c r="J228" t="n">
        <v>0</v>
      </c>
      <c r="K228" t="n">
        <v>0</v>
      </c>
      <c r="L228" t="n">
        <v>0</v>
      </c>
      <c r="M228" t="inlineStr">
        <is>
          <t>584b9f</t>
        </is>
      </c>
      <c r="N228" t="inlineStr">
        <is>
          <t>FFFFFF</t>
        </is>
      </c>
      <c r="O228" t="inlineStr">
        <is>
          <t>C</t>
        </is>
      </c>
      <c r="Q228" t="n">
        <v>3</v>
      </c>
      <c r="R228" t="b">
        <v>1</v>
      </c>
      <c r="S228" t="inlineStr">
        <is>
          <t xml:space="preserve"> </t>
        </is>
      </c>
      <c r="T228" t="n">
        <v>0</v>
      </c>
    </row>
    <row r="229">
      <c r="A229" t="inlineStr">
        <is>
          <t>pt_header</t>
        </is>
      </c>
      <c r="B229" t="n">
        <v>14</v>
      </c>
      <c r="C229" t="inlineStr">
        <is>
          <t>T</t>
        </is>
      </c>
      <c r="D229" t="n">
        <v>14</v>
      </c>
      <c r="E229" t="n">
        <v>20</v>
      </c>
      <c r="F229" t="n">
        <v>196</v>
      </c>
      <c r="G229" t="n">
        <v>25</v>
      </c>
      <c r="H229" t="inlineStr">
        <is>
          <t>custom</t>
        </is>
      </c>
      <c r="I229" t="n">
        <v>14</v>
      </c>
      <c r="J229" t="n">
        <v>1</v>
      </c>
      <c r="K229" t="n">
        <v>0</v>
      </c>
      <c r="L229" t="n">
        <v>0</v>
      </c>
      <c r="N229" t="inlineStr">
        <is>
          <t>FFFFFF</t>
        </is>
      </c>
      <c r="O229" t="inlineStr">
        <is>
          <t>L</t>
        </is>
      </c>
      <c r="Q229" t="n">
        <v>2</v>
      </c>
      <c r="R229" t="b">
        <v>0</v>
      </c>
      <c r="S229" t="inlineStr">
        <is>
          <t xml:space="preserve"> </t>
        </is>
      </c>
      <c r="T229" t="n">
        <v>0</v>
      </c>
    </row>
    <row r="230">
      <c r="A230" t="inlineStr">
        <is>
          <t>pt_description</t>
        </is>
      </c>
      <c r="B230" t="n">
        <v>14</v>
      </c>
      <c r="C230" t="inlineStr">
        <is>
          <t>T</t>
        </is>
      </c>
      <c r="D230" t="n">
        <v>14</v>
      </c>
      <c r="E230" t="n">
        <v>33</v>
      </c>
      <c r="F230" t="n">
        <v>196</v>
      </c>
      <c r="G230" t="n">
        <v>38</v>
      </c>
      <c r="H230" t="inlineStr">
        <is>
          <t>custom</t>
        </is>
      </c>
      <c r="I230" t="n">
        <v>12</v>
      </c>
      <c r="J230" t="n">
        <v>0</v>
      </c>
      <c r="K230" t="n">
        <v>0</v>
      </c>
      <c r="L230" t="n">
        <v>0</v>
      </c>
      <c r="M230" s="23" t="n"/>
      <c r="N230" t="inlineStr">
        <is>
          <t>FFFFFF</t>
        </is>
      </c>
      <c r="O230" t="inlineStr">
        <is>
          <t>L</t>
        </is>
      </c>
      <c r="P230" s="1" t="n"/>
      <c r="Q230" t="n">
        <v>2</v>
      </c>
      <c r="R230" t="b">
        <v>1</v>
      </c>
      <c r="S230" t="inlineStr">
        <is>
          <t xml:space="preserve"> </t>
        </is>
      </c>
      <c r="T230" t="n">
        <v>0</v>
      </c>
    </row>
    <row r="231">
      <c r="A231" t="inlineStr">
        <is>
          <t>policy_checklist3_box</t>
        </is>
      </c>
      <c r="B231" t="n">
        <v>14</v>
      </c>
      <c r="C231" t="inlineStr">
        <is>
          <t>B</t>
        </is>
      </c>
      <c r="D231" t="n">
        <v>0</v>
      </c>
      <c r="E231" t="n">
        <v>120</v>
      </c>
      <c r="F231" t="n">
        <v>210</v>
      </c>
      <c r="G231" t="n">
        <v>204</v>
      </c>
      <c r="I231" t="n">
        <v>0</v>
      </c>
      <c r="J231" t="n">
        <v>1</v>
      </c>
      <c r="K231" t="n">
        <v>0</v>
      </c>
      <c r="L231" t="n">
        <v>0</v>
      </c>
      <c r="M231" t="inlineStr">
        <is>
          <t>d0d8dd</t>
        </is>
      </c>
      <c r="N231" t="inlineStr">
        <is>
          <t>d0d8dd</t>
        </is>
      </c>
      <c r="O231" t="inlineStr">
        <is>
          <t>L</t>
        </is>
      </c>
      <c r="Q231" t="n">
        <v>1</v>
      </c>
      <c r="R231" t="b">
        <v>0</v>
      </c>
      <c r="S231" t="inlineStr">
        <is>
          <t xml:space="preserve"> </t>
        </is>
      </c>
      <c r="T231" t="n">
        <v>0</v>
      </c>
    </row>
    <row r="232">
      <c r="A232" t="inlineStr">
        <is>
          <t>policy_checklist3_title</t>
        </is>
      </c>
      <c r="B232" t="n">
        <v>-999</v>
      </c>
      <c r="C232" t="inlineStr">
        <is>
          <t>T</t>
        </is>
      </c>
      <c r="D232" t="n">
        <v>14</v>
      </c>
      <c r="E232" t="n">
        <v>125</v>
      </c>
      <c r="F232" t="n">
        <v>196</v>
      </c>
      <c r="G232" t="n">
        <v>128</v>
      </c>
      <c r="H232" t="inlineStr">
        <is>
          <t>custom</t>
        </is>
      </c>
      <c r="I232" t="n">
        <v>12</v>
      </c>
      <c r="J232" t="n">
        <v>1</v>
      </c>
      <c r="K232" t="n">
        <v>0</v>
      </c>
      <c r="L232" t="n">
        <v>0</v>
      </c>
      <c r="N232" t="inlineStr">
        <is>
          <t>d0d8dd</t>
        </is>
      </c>
      <c r="O232" t="inlineStr">
        <is>
          <t>L</t>
        </is>
      </c>
      <c r="Q232" t="n">
        <v>3</v>
      </c>
      <c r="R232" t="b">
        <v>0</v>
      </c>
      <c r="S232" t="inlineStr">
        <is>
          <t xml:space="preserve"> </t>
        </is>
      </c>
      <c r="T232" t="n">
        <v>0</v>
      </c>
    </row>
    <row r="233">
      <c r="A233" t="inlineStr">
        <is>
          <t>policy_checklist_header1</t>
        </is>
      </c>
      <c r="B233" t="n">
        <v>14</v>
      </c>
      <c r="C233" t="inlineStr">
        <is>
          <t>T</t>
        </is>
      </c>
      <c r="D233" t="n">
        <v>113</v>
      </c>
      <c r="E233" t="n">
        <v>122</v>
      </c>
      <c r="F233" t="n">
        <v>140</v>
      </c>
      <c r="G233" t="n">
        <v>127</v>
      </c>
      <c r="H233" t="inlineStr">
        <is>
          <t>custom</t>
        </is>
      </c>
      <c r="I233" t="n">
        <v>10</v>
      </c>
      <c r="J233" t="n">
        <v>1</v>
      </c>
      <c r="K233" t="n">
        <v>0</v>
      </c>
      <c r="L233" t="n">
        <v>0</v>
      </c>
      <c r="N233" t="inlineStr">
        <is>
          <t>d0d8dd</t>
        </is>
      </c>
      <c r="O233" t="inlineStr">
        <is>
          <t>C</t>
        </is>
      </c>
      <c r="Q233" t="n">
        <v>3</v>
      </c>
      <c r="R233" t="b">
        <v>1</v>
      </c>
      <c r="S233" t="inlineStr">
        <is>
          <t xml:space="preserve"> </t>
        </is>
      </c>
      <c r="T233" t="n">
        <v>0</v>
      </c>
    </row>
    <row r="234">
      <c r="A234" t="inlineStr">
        <is>
          <t>policy_checklist_header2</t>
        </is>
      </c>
      <c r="B234" t="n">
        <v>14</v>
      </c>
      <c r="C234" t="inlineStr">
        <is>
          <t>T</t>
        </is>
      </c>
      <c r="D234" t="n">
        <v>140</v>
      </c>
      <c r="E234" t="n">
        <v>122</v>
      </c>
      <c r="F234" t="n">
        <v>169</v>
      </c>
      <c r="G234" t="n">
        <v>127</v>
      </c>
      <c r="H234" t="inlineStr">
        <is>
          <t>custom</t>
        </is>
      </c>
      <c r="I234" t="n">
        <v>10</v>
      </c>
      <c r="J234" t="n">
        <v>1</v>
      </c>
      <c r="K234" t="n">
        <v>0</v>
      </c>
      <c r="L234" t="n">
        <v>0</v>
      </c>
      <c r="N234" t="inlineStr">
        <is>
          <t>d0d8dd</t>
        </is>
      </c>
      <c r="O234" t="inlineStr">
        <is>
          <t>C</t>
        </is>
      </c>
      <c r="Q234" t="n">
        <v>3</v>
      </c>
      <c r="R234" t="b">
        <v>1</v>
      </c>
      <c r="S234" t="inlineStr">
        <is>
          <t xml:space="preserve"> </t>
        </is>
      </c>
      <c r="T234" t="n">
        <v>0</v>
      </c>
    </row>
    <row r="235">
      <c r="A235" t="inlineStr">
        <is>
          <t>policy_checklist_header3</t>
        </is>
      </c>
      <c r="B235" t="n">
        <v>14</v>
      </c>
      <c r="C235" t="inlineStr">
        <is>
          <t>T</t>
        </is>
      </c>
      <c r="D235" t="n">
        <v>168</v>
      </c>
      <c r="E235" t="n">
        <v>122</v>
      </c>
      <c r="F235" t="n">
        <v>194</v>
      </c>
      <c r="G235" t="n">
        <v>127</v>
      </c>
      <c r="H235" t="inlineStr">
        <is>
          <t>custom</t>
        </is>
      </c>
      <c r="I235" t="n">
        <v>10</v>
      </c>
      <c r="J235" t="n">
        <v>1</v>
      </c>
      <c r="K235" t="n">
        <v>0</v>
      </c>
      <c r="L235" t="n">
        <v>0</v>
      </c>
      <c r="N235" t="inlineStr">
        <is>
          <t>d0d8dd</t>
        </is>
      </c>
      <c r="O235" t="inlineStr">
        <is>
          <t>C</t>
        </is>
      </c>
      <c r="Q235" t="n">
        <v>3</v>
      </c>
      <c r="R235" t="b">
        <v>1</v>
      </c>
      <c r="S235" t="inlineStr">
        <is>
          <t xml:space="preserve"> </t>
        </is>
      </c>
      <c r="T235" t="n">
        <v>0</v>
      </c>
    </row>
    <row r="236">
      <c r="A236" t="inlineStr">
        <is>
          <t>table_vline1</t>
        </is>
      </c>
      <c r="B236" t="n">
        <v>14</v>
      </c>
      <c r="C236" t="inlineStr">
        <is>
          <t>L</t>
        </is>
      </c>
      <c r="D236" t="n">
        <v>114</v>
      </c>
      <c r="E236" t="n">
        <v>120</v>
      </c>
      <c r="F236" t="n">
        <v>114</v>
      </c>
      <c r="G236" t="n">
        <v>204</v>
      </c>
      <c r="I236" t="n">
        <v>0.5</v>
      </c>
      <c r="J236" t="n">
        <v>0</v>
      </c>
      <c r="K236" t="n">
        <v>0</v>
      </c>
      <c r="L236" t="n">
        <v>0</v>
      </c>
      <c r="M236" t="inlineStr">
        <is>
          <t>FFFFFF</t>
        </is>
      </c>
      <c r="N236" t="inlineStr">
        <is>
          <t>d0d8dd</t>
        </is>
      </c>
      <c r="O236" t="inlineStr">
        <is>
          <t>L</t>
        </is>
      </c>
      <c r="Q236" t="n">
        <v>4</v>
      </c>
      <c r="R236" t="b">
        <v>0</v>
      </c>
      <c r="S236" t="inlineStr">
        <is>
          <t xml:space="preserve"> </t>
        </is>
      </c>
      <c r="T236" t="n">
        <v>0</v>
      </c>
    </row>
    <row r="237">
      <c r="A237" t="inlineStr">
        <is>
          <t>table_vline2</t>
        </is>
      </c>
      <c r="B237" t="n">
        <v>14</v>
      </c>
      <c r="C237" t="inlineStr">
        <is>
          <t>L</t>
        </is>
      </c>
      <c r="D237" t="n">
        <v>141</v>
      </c>
      <c r="E237" t="n">
        <v>120</v>
      </c>
      <c r="F237" t="n">
        <v>141</v>
      </c>
      <c r="G237" t="n">
        <v>204</v>
      </c>
      <c r="I237" t="n">
        <v>0.5</v>
      </c>
      <c r="J237" t="n">
        <v>0</v>
      </c>
      <c r="K237" t="n">
        <v>0</v>
      </c>
      <c r="L237" t="n">
        <v>0</v>
      </c>
      <c r="M237" t="inlineStr">
        <is>
          <t>FFFFFF</t>
        </is>
      </c>
      <c r="N237" t="inlineStr">
        <is>
          <t>d0d8dd</t>
        </is>
      </c>
      <c r="O237" t="inlineStr">
        <is>
          <t>L</t>
        </is>
      </c>
      <c r="Q237" t="n">
        <v>4</v>
      </c>
      <c r="R237" t="b">
        <v>0</v>
      </c>
      <c r="S237" t="inlineStr">
        <is>
          <t xml:space="preserve"> </t>
        </is>
      </c>
      <c r="T237" t="n">
        <v>0</v>
      </c>
    </row>
    <row r="238">
      <c r="A238" t="inlineStr">
        <is>
          <t>table_vline3</t>
        </is>
      </c>
      <c r="B238" t="n">
        <v>14</v>
      </c>
      <c r="C238" t="inlineStr">
        <is>
          <t>L</t>
        </is>
      </c>
      <c r="D238" t="n">
        <v>168</v>
      </c>
      <c r="E238" t="n">
        <v>120</v>
      </c>
      <c r="F238" t="n">
        <v>168</v>
      </c>
      <c r="G238" t="n">
        <v>204</v>
      </c>
      <c r="I238" t="n">
        <v>0.5</v>
      </c>
      <c r="J238" t="n">
        <v>0</v>
      </c>
      <c r="K238" t="n">
        <v>0</v>
      </c>
      <c r="L238" t="n">
        <v>0</v>
      </c>
      <c r="M238" t="inlineStr">
        <is>
          <t>FFFFFF</t>
        </is>
      </c>
      <c r="N238" t="inlineStr">
        <is>
          <t>d0d8dd</t>
        </is>
      </c>
      <c r="O238" t="inlineStr">
        <is>
          <t>L</t>
        </is>
      </c>
      <c r="Q238" t="n">
        <v>4</v>
      </c>
      <c r="R238" t="b">
        <v>0</v>
      </c>
      <c r="S238" t="inlineStr">
        <is>
          <t xml:space="preserve"> </t>
        </is>
      </c>
      <c r="T238" t="n">
        <v>0</v>
      </c>
    </row>
    <row r="239">
      <c r="A239" t="inlineStr">
        <is>
          <t>table_hline_mid</t>
        </is>
      </c>
      <c r="B239" t="n">
        <v>14</v>
      </c>
      <c r="C239" t="inlineStr">
        <is>
          <t>L</t>
        </is>
      </c>
      <c r="D239" t="n">
        <v>14</v>
      </c>
      <c r="E239" t="n">
        <v>147</v>
      </c>
      <c r="F239" t="n">
        <v>196</v>
      </c>
      <c r="G239" t="n">
        <v>147</v>
      </c>
      <c r="I239" t="n">
        <v>0.5</v>
      </c>
      <c r="J239" t="n">
        <v>0</v>
      </c>
      <c r="K239" t="n">
        <v>0</v>
      </c>
      <c r="L239" t="n">
        <v>0</v>
      </c>
      <c r="M239" t="inlineStr">
        <is>
          <t>FFFFFF</t>
        </is>
      </c>
      <c r="N239" t="inlineStr">
        <is>
          <t>d0d8dd</t>
        </is>
      </c>
      <c r="O239" t="inlineStr">
        <is>
          <t>L</t>
        </is>
      </c>
      <c r="Q239" t="n">
        <v>4</v>
      </c>
      <c r="R239" t="b">
        <v>0</v>
      </c>
      <c r="S239" t="inlineStr">
        <is>
          <t xml:space="preserve"> </t>
        </is>
      </c>
      <c r="T239" t="n">
        <v>0</v>
      </c>
    </row>
    <row r="240">
      <c r="A240" t="inlineStr">
        <is>
          <t>Policy key</t>
        </is>
      </c>
      <c r="B240" t="n">
        <v>14</v>
      </c>
      <c r="C240" t="inlineStr">
        <is>
          <t>T</t>
        </is>
      </c>
      <c r="D240" t="n">
        <v>14</v>
      </c>
      <c r="E240" t="n">
        <v>206</v>
      </c>
      <c r="F240" t="n">
        <v>196</v>
      </c>
      <c r="G240" t="n">
        <v>210</v>
      </c>
      <c r="H240" t="inlineStr">
        <is>
          <t>custom</t>
        </is>
      </c>
      <c r="I240" t="n">
        <v>10</v>
      </c>
      <c r="J240" t="n">
        <v>0</v>
      </c>
      <c r="K240" t="n">
        <v>0</v>
      </c>
      <c r="L240" t="n">
        <v>0</v>
      </c>
      <c r="N240" t="inlineStr">
        <is>
          <t>FFFFFF</t>
        </is>
      </c>
      <c r="O240" t="inlineStr">
        <is>
          <t>R</t>
        </is>
      </c>
      <c r="Q240" t="n">
        <v>2</v>
      </c>
      <c r="R240" t="b">
        <v>0</v>
      </c>
      <c r="S240" t="inlineStr">
        <is>
          <t xml:space="preserve"> </t>
        </is>
      </c>
      <c r="T240" t="n">
        <v>0</v>
      </c>
    </row>
    <row r="241" ht="15.75" customHeight="1">
      <c r="A241" t="inlineStr">
        <is>
          <t>policy_checklist3_text1</t>
        </is>
      </c>
      <c r="B241" t="n">
        <v>14</v>
      </c>
      <c r="C241" t="inlineStr">
        <is>
          <t>T</t>
        </is>
      </c>
      <c r="D241" t="n">
        <v>14</v>
      </c>
      <c r="E241" t="n">
        <v>149</v>
      </c>
      <c r="F241" t="n">
        <v>112</v>
      </c>
      <c r="G241" t="n">
        <v>154</v>
      </c>
      <c r="H241" t="inlineStr">
        <is>
          <t>custom</t>
        </is>
      </c>
      <c r="I241" t="n">
        <v>12</v>
      </c>
      <c r="J241" t="n">
        <v>0</v>
      </c>
      <c r="K241" t="n">
        <v>0</v>
      </c>
      <c r="L241" t="n">
        <v>0</v>
      </c>
      <c r="N241" t="inlineStr">
        <is>
          <t>d0d8dd</t>
        </is>
      </c>
      <c r="O241" t="inlineStr">
        <is>
          <t>L</t>
        </is>
      </c>
      <c r="Q241" t="n">
        <v>3</v>
      </c>
      <c r="R241" t="b">
        <v>1</v>
      </c>
      <c r="S241" t="inlineStr">
        <is>
          <t xml:space="preserve"> </t>
        </is>
      </c>
      <c r="T241" t="n">
        <v>0</v>
      </c>
    </row>
    <row r="242">
      <c r="A242" t="inlineStr">
        <is>
          <t>policy_checklist3_text1_response1</t>
        </is>
      </c>
      <c r="B242" t="n">
        <v>14</v>
      </c>
      <c r="C242" t="inlineStr">
        <is>
          <t>T</t>
        </is>
      </c>
      <c r="D242" t="n">
        <v>113</v>
      </c>
      <c r="E242" t="n">
        <v>150</v>
      </c>
      <c r="F242" t="n">
        <v>140</v>
      </c>
      <c r="G242" t="n">
        <v>153</v>
      </c>
      <c r="H242" t="inlineStr">
        <is>
          <t>dejavu</t>
        </is>
      </c>
      <c r="I242" t="n">
        <v>16</v>
      </c>
      <c r="J242" t="n">
        <v>1</v>
      </c>
      <c r="K242" t="n">
        <v>0</v>
      </c>
      <c r="L242" t="n">
        <v>0</v>
      </c>
      <c r="N242" t="inlineStr">
        <is>
          <t>d0d8dd</t>
        </is>
      </c>
      <c r="O242" t="inlineStr">
        <is>
          <t>C</t>
        </is>
      </c>
      <c r="Q242" t="n">
        <v>2</v>
      </c>
      <c r="R242" t="b">
        <v>0</v>
      </c>
      <c r="S242" t="inlineStr">
        <is>
          <t xml:space="preserve"> </t>
        </is>
      </c>
      <c r="T242" t="n">
        <v>0</v>
      </c>
    </row>
    <row r="243">
      <c r="A243" t="inlineStr">
        <is>
          <t>policy_checklist3_text1_response2</t>
        </is>
      </c>
      <c r="B243" t="n">
        <v>14</v>
      </c>
      <c r="C243" t="inlineStr">
        <is>
          <t>T</t>
        </is>
      </c>
      <c r="D243" t="n">
        <v>140</v>
      </c>
      <c r="E243" t="n">
        <v>150</v>
      </c>
      <c r="F243" t="n">
        <v>169</v>
      </c>
      <c r="G243" t="n">
        <v>153</v>
      </c>
      <c r="H243" t="inlineStr">
        <is>
          <t>dejavu</t>
        </is>
      </c>
      <c r="I243" t="n">
        <v>16</v>
      </c>
      <c r="J243" t="n">
        <v>1</v>
      </c>
      <c r="K243" t="n">
        <v>0</v>
      </c>
      <c r="L243" t="n">
        <v>0</v>
      </c>
      <c r="N243" t="inlineStr">
        <is>
          <t>d0d8dd</t>
        </is>
      </c>
      <c r="O243" t="inlineStr">
        <is>
          <t>C</t>
        </is>
      </c>
      <c r="Q243" t="n">
        <v>2</v>
      </c>
      <c r="R243" t="b">
        <v>0</v>
      </c>
      <c r="S243" t="inlineStr">
        <is>
          <t xml:space="preserve"> </t>
        </is>
      </c>
      <c r="T243" t="n">
        <v>0</v>
      </c>
    </row>
    <row r="244">
      <c r="A244" t="inlineStr">
        <is>
          <t>policy_checklist3_text1_response3</t>
        </is>
      </c>
      <c r="B244" t="n">
        <v>14</v>
      </c>
      <c r="C244" t="inlineStr">
        <is>
          <t>T</t>
        </is>
      </c>
      <c r="D244" t="n">
        <v>168</v>
      </c>
      <c r="E244" t="n">
        <v>150</v>
      </c>
      <c r="F244" t="n">
        <v>194</v>
      </c>
      <c r="G244" t="n">
        <v>153</v>
      </c>
      <c r="H244" t="inlineStr">
        <is>
          <t>dejavu</t>
        </is>
      </c>
      <c r="I244" t="n">
        <v>16</v>
      </c>
      <c r="J244" t="n">
        <v>1</v>
      </c>
      <c r="K244" t="n">
        <v>0</v>
      </c>
      <c r="L244" t="n">
        <v>0</v>
      </c>
      <c r="N244" t="inlineStr">
        <is>
          <t>d0d8dd</t>
        </is>
      </c>
      <c r="O244" t="inlineStr">
        <is>
          <t>C</t>
        </is>
      </c>
      <c r="Q244" t="n">
        <v>2</v>
      </c>
      <c r="R244" t="b">
        <v>0</v>
      </c>
      <c r="S244" t="inlineStr">
        <is>
          <t xml:space="preserve"> </t>
        </is>
      </c>
      <c r="T244" t="n">
        <v>0</v>
      </c>
    </row>
    <row r="245" ht="15.75" customHeight="1">
      <c r="A245" t="inlineStr">
        <is>
          <t>policy_checklist3_text2</t>
        </is>
      </c>
      <c r="B245" t="n">
        <v>14</v>
      </c>
      <c r="C245" t="inlineStr">
        <is>
          <t>T</t>
        </is>
      </c>
      <c r="D245" t="n">
        <v>14</v>
      </c>
      <c r="E245" t="n">
        <v>167</v>
      </c>
      <c r="F245" t="n">
        <v>112</v>
      </c>
      <c r="G245" t="n">
        <v>172</v>
      </c>
      <c r="H245" t="inlineStr">
        <is>
          <t>custom</t>
        </is>
      </c>
      <c r="I245" t="n">
        <v>12</v>
      </c>
      <c r="J245" t="n">
        <v>0</v>
      </c>
      <c r="K245" t="n">
        <v>0</v>
      </c>
      <c r="L245" t="n">
        <v>0</v>
      </c>
      <c r="N245" t="inlineStr">
        <is>
          <t>d0d8dd</t>
        </is>
      </c>
      <c r="O245" t="inlineStr">
        <is>
          <t>L</t>
        </is>
      </c>
      <c r="Q245" t="n">
        <v>3</v>
      </c>
      <c r="R245" t="b">
        <v>1</v>
      </c>
      <c r="S245" t="inlineStr">
        <is>
          <t xml:space="preserve"> </t>
        </is>
      </c>
      <c r="T245" t="n">
        <v>0</v>
      </c>
    </row>
    <row r="246">
      <c r="A246" t="inlineStr">
        <is>
          <t>policy_checklist3_text2_response1</t>
        </is>
      </c>
      <c r="B246" t="n">
        <v>14</v>
      </c>
      <c r="C246" t="inlineStr">
        <is>
          <t>T</t>
        </is>
      </c>
      <c r="D246" t="n">
        <v>113</v>
      </c>
      <c r="E246" t="n">
        <v>168</v>
      </c>
      <c r="F246" t="n">
        <v>140</v>
      </c>
      <c r="G246" t="n">
        <v>171</v>
      </c>
      <c r="H246" t="inlineStr">
        <is>
          <t>dejavu</t>
        </is>
      </c>
      <c r="I246" t="n">
        <v>16</v>
      </c>
      <c r="J246" t="n">
        <v>1</v>
      </c>
      <c r="K246" t="n">
        <v>0</v>
      </c>
      <c r="L246" t="n">
        <v>0</v>
      </c>
      <c r="N246" t="inlineStr">
        <is>
          <t>d0d8dd</t>
        </is>
      </c>
      <c r="O246" t="inlineStr">
        <is>
          <t>C</t>
        </is>
      </c>
      <c r="Q246" t="n">
        <v>2</v>
      </c>
      <c r="R246" t="b">
        <v>0</v>
      </c>
      <c r="S246" t="inlineStr">
        <is>
          <t xml:space="preserve"> </t>
        </is>
      </c>
      <c r="T246" t="n">
        <v>0</v>
      </c>
    </row>
    <row r="247">
      <c r="A247" t="inlineStr">
        <is>
          <t>policy_checklist3_text2_response2</t>
        </is>
      </c>
      <c r="B247" t="n">
        <v>14</v>
      </c>
      <c r="C247" t="inlineStr">
        <is>
          <t>T</t>
        </is>
      </c>
      <c r="D247" t="n">
        <v>140</v>
      </c>
      <c r="E247" t="n">
        <v>168</v>
      </c>
      <c r="F247" t="n">
        <v>169</v>
      </c>
      <c r="G247" t="n">
        <v>171</v>
      </c>
      <c r="H247" t="inlineStr">
        <is>
          <t>dejavu</t>
        </is>
      </c>
      <c r="I247" t="n">
        <v>16</v>
      </c>
      <c r="J247" t="n">
        <v>1</v>
      </c>
      <c r="K247" t="n">
        <v>0</v>
      </c>
      <c r="L247" t="n">
        <v>0</v>
      </c>
      <c r="N247" t="inlineStr">
        <is>
          <t>d0d8dd</t>
        </is>
      </c>
      <c r="O247" t="inlineStr">
        <is>
          <t>C</t>
        </is>
      </c>
      <c r="Q247" t="n">
        <v>2</v>
      </c>
      <c r="R247" t="b">
        <v>0</v>
      </c>
      <c r="S247" t="inlineStr">
        <is>
          <t xml:space="preserve"> </t>
        </is>
      </c>
      <c r="T247" t="n">
        <v>0</v>
      </c>
    </row>
    <row r="248">
      <c r="A248" t="inlineStr">
        <is>
          <t>policy_checklist3_text2_response3</t>
        </is>
      </c>
      <c r="B248" t="n">
        <v>14</v>
      </c>
      <c r="C248" t="inlineStr">
        <is>
          <t>T</t>
        </is>
      </c>
      <c r="D248" t="n">
        <v>168</v>
      </c>
      <c r="E248" t="n">
        <v>168</v>
      </c>
      <c r="F248" t="n">
        <v>194</v>
      </c>
      <c r="G248" t="n">
        <v>171</v>
      </c>
      <c r="H248" t="inlineStr">
        <is>
          <t>dejavu</t>
        </is>
      </c>
      <c r="I248" t="n">
        <v>16</v>
      </c>
      <c r="J248" t="n">
        <v>1</v>
      </c>
      <c r="K248" t="n">
        <v>0</v>
      </c>
      <c r="L248" t="n">
        <v>0</v>
      </c>
      <c r="N248" t="inlineStr">
        <is>
          <t>d0d8dd</t>
        </is>
      </c>
      <c r="O248" t="inlineStr">
        <is>
          <t>C</t>
        </is>
      </c>
      <c r="Q248" t="n">
        <v>2</v>
      </c>
      <c r="R248" t="b">
        <v>0</v>
      </c>
      <c r="S248" t="inlineStr">
        <is>
          <t xml:space="preserve"> </t>
        </is>
      </c>
      <c r="T248" t="n">
        <v>0</v>
      </c>
    </row>
    <row r="249" ht="15.75" customHeight="1">
      <c r="A249" t="inlineStr">
        <is>
          <t>policy_checklist3_text3</t>
        </is>
      </c>
      <c r="B249" t="n">
        <v>14</v>
      </c>
      <c r="C249" t="inlineStr">
        <is>
          <t>T</t>
        </is>
      </c>
      <c r="D249" t="n">
        <v>14</v>
      </c>
      <c r="E249" t="n">
        <v>185</v>
      </c>
      <c r="F249" t="n">
        <v>112</v>
      </c>
      <c r="G249" t="n">
        <v>190</v>
      </c>
      <c r="H249" t="inlineStr">
        <is>
          <t>custom</t>
        </is>
      </c>
      <c r="I249" t="n">
        <v>12</v>
      </c>
      <c r="J249" t="n">
        <v>0</v>
      </c>
      <c r="K249" t="n">
        <v>0</v>
      </c>
      <c r="L249" t="n">
        <v>0</v>
      </c>
      <c r="N249" t="inlineStr">
        <is>
          <t>d0d8dd</t>
        </is>
      </c>
      <c r="O249" t="inlineStr">
        <is>
          <t>L</t>
        </is>
      </c>
      <c r="Q249" t="n">
        <v>3</v>
      </c>
      <c r="R249" t="b">
        <v>1</v>
      </c>
      <c r="S249" t="inlineStr">
        <is>
          <t xml:space="preserve"> </t>
        </is>
      </c>
      <c r="T249" t="n">
        <v>0</v>
      </c>
    </row>
    <row r="250">
      <c r="A250" t="inlineStr">
        <is>
          <t>policy_checklist3_text3_response1</t>
        </is>
      </c>
      <c r="B250" t="n">
        <v>14</v>
      </c>
      <c r="C250" t="inlineStr">
        <is>
          <t>T</t>
        </is>
      </c>
      <c r="D250" t="n">
        <v>113</v>
      </c>
      <c r="E250" t="n">
        <v>186</v>
      </c>
      <c r="F250" t="n">
        <v>140</v>
      </c>
      <c r="G250" t="n">
        <v>189</v>
      </c>
      <c r="H250" t="inlineStr">
        <is>
          <t>dejavu</t>
        </is>
      </c>
      <c r="I250" t="n">
        <v>16</v>
      </c>
      <c r="J250" t="n">
        <v>1</v>
      </c>
      <c r="K250" t="n">
        <v>0</v>
      </c>
      <c r="L250" t="n">
        <v>0</v>
      </c>
      <c r="N250" t="inlineStr">
        <is>
          <t>d0d8dd</t>
        </is>
      </c>
      <c r="O250" t="inlineStr">
        <is>
          <t>C</t>
        </is>
      </c>
      <c r="Q250" t="n">
        <v>2</v>
      </c>
      <c r="R250" t="b">
        <v>0</v>
      </c>
      <c r="S250" t="inlineStr">
        <is>
          <t xml:space="preserve"> </t>
        </is>
      </c>
      <c r="T250" t="n">
        <v>0</v>
      </c>
    </row>
    <row r="251">
      <c r="A251" t="inlineStr">
        <is>
          <t>policy_checklist3_text3_response2</t>
        </is>
      </c>
      <c r="B251" t="n">
        <v>14</v>
      </c>
      <c r="C251" t="inlineStr">
        <is>
          <t>T</t>
        </is>
      </c>
      <c r="D251" t="n">
        <v>140</v>
      </c>
      <c r="E251" t="n">
        <v>186</v>
      </c>
      <c r="F251" t="n">
        <v>169</v>
      </c>
      <c r="G251" t="n">
        <v>189</v>
      </c>
      <c r="H251" t="inlineStr">
        <is>
          <t>dejavu</t>
        </is>
      </c>
      <c r="I251" t="n">
        <v>16</v>
      </c>
      <c r="J251" t="n">
        <v>1</v>
      </c>
      <c r="K251" t="n">
        <v>0</v>
      </c>
      <c r="L251" t="n">
        <v>0</v>
      </c>
      <c r="N251" t="inlineStr">
        <is>
          <t>d0d8dd</t>
        </is>
      </c>
      <c r="O251" t="inlineStr">
        <is>
          <t>C</t>
        </is>
      </c>
      <c r="Q251" t="n">
        <v>2</v>
      </c>
      <c r="R251" t="b">
        <v>0</v>
      </c>
      <c r="S251" t="inlineStr">
        <is>
          <t xml:space="preserve"> </t>
        </is>
      </c>
      <c r="T251" t="n">
        <v>0</v>
      </c>
    </row>
    <row r="252">
      <c r="A252" t="inlineStr">
        <is>
          <t>policy_checklist3_text3_response3</t>
        </is>
      </c>
      <c r="B252" t="n">
        <v>14</v>
      </c>
      <c r="C252" t="inlineStr">
        <is>
          <t>T</t>
        </is>
      </c>
      <c r="D252" t="n">
        <v>168</v>
      </c>
      <c r="E252" t="n">
        <v>186</v>
      </c>
      <c r="F252" t="n">
        <v>194</v>
      </c>
      <c r="G252" t="n">
        <v>189</v>
      </c>
      <c r="H252" t="inlineStr">
        <is>
          <t>dejavu</t>
        </is>
      </c>
      <c r="I252" t="n">
        <v>16</v>
      </c>
      <c r="J252" t="n">
        <v>1</v>
      </c>
      <c r="K252" t="n">
        <v>0</v>
      </c>
      <c r="L252" t="n">
        <v>0</v>
      </c>
      <c r="N252" t="inlineStr">
        <is>
          <t>d0d8dd</t>
        </is>
      </c>
      <c r="O252" t="inlineStr">
        <is>
          <t>C</t>
        </is>
      </c>
      <c r="Q252" t="n">
        <v>2</v>
      </c>
      <c r="R252" t="b">
        <v>0</v>
      </c>
      <c r="S252" t="inlineStr">
        <is>
          <t xml:space="preserve"> </t>
        </is>
      </c>
      <c r="T252" t="n">
        <v>0</v>
      </c>
    </row>
    <row r="253">
      <c r="A253" t="inlineStr">
        <is>
          <t>pct_access_400m_pt.jpg</t>
        </is>
      </c>
      <c r="B253" t="n">
        <v>15</v>
      </c>
      <c r="C253" t="inlineStr">
        <is>
          <t>I</t>
        </is>
      </c>
      <c r="D253" t="n">
        <v>14</v>
      </c>
      <c r="E253" t="n">
        <v>60</v>
      </c>
      <c r="F253" t="n">
        <v>196</v>
      </c>
      <c r="G253" t="n">
        <v>225</v>
      </c>
      <c r="I253" t="n">
        <v>0</v>
      </c>
      <c r="J253" t="n">
        <v>0</v>
      </c>
      <c r="K253" t="n">
        <v>0</v>
      </c>
      <c r="L253" t="n">
        <v>0</v>
      </c>
      <c r="N253" t="inlineStr">
        <is>
          <t>FFFFFF</t>
        </is>
      </c>
      <c r="O253" t="inlineStr">
        <is>
          <t>L</t>
        </is>
      </c>
      <c r="Q253" t="n">
        <v>2</v>
      </c>
      <c r="R253" t="b">
        <v>0</v>
      </c>
      <c r="S253" t="inlineStr">
        <is>
          <t xml:space="preserve"> </t>
        </is>
      </c>
      <c r="T253" t="n">
        <v>0</v>
      </c>
    </row>
    <row r="254">
      <c r="A254" t="inlineStr">
        <is>
          <t>pct_access_400m_pt_label</t>
        </is>
      </c>
      <c r="B254" t="n">
        <v>15</v>
      </c>
      <c r="C254" t="inlineStr">
        <is>
          <t>T</t>
        </is>
      </c>
      <c r="D254" t="n">
        <v>30</v>
      </c>
      <c r="E254" t="n">
        <v>233</v>
      </c>
      <c r="F254" t="n">
        <v>180</v>
      </c>
      <c r="G254" t="n">
        <v>241</v>
      </c>
      <c r="H254" t="inlineStr">
        <is>
          <t>custom</t>
        </is>
      </c>
      <c r="I254" t="n">
        <v>16</v>
      </c>
      <c r="J254" t="n">
        <v>0</v>
      </c>
      <c r="K254" t="n">
        <v>0</v>
      </c>
      <c r="L254" t="n">
        <v>0</v>
      </c>
      <c r="M254" t="inlineStr">
        <is>
          <t>584b9f</t>
        </is>
      </c>
      <c r="N254" t="inlineStr">
        <is>
          <t>FFFFFF</t>
        </is>
      </c>
      <c r="O254" t="inlineStr">
        <is>
          <t>C</t>
        </is>
      </c>
      <c r="Q254" t="n">
        <v>2</v>
      </c>
      <c r="R254" t="b">
        <v>1</v>
      </c>
      <c r="S254" t="inlineStr">
        <is>
          <t xml:space="preserve"> </t>
        </is>
      </c>
      <c r="T254" t="n">
        <v>0</v>
      </c>
    </row>
    <row r="255">
      <c r="A255" t="inlineStr">
        <is>
          <t>pos_header</t>
        </is>
      </c>
      <c r="B255" t="n">
        <v>16</v>
      </c>
      <c r="C255" t="inlineStr">
        <is>
          <t>T</t>
        </is>
      </c>
      <c r="D255" t="n">
        <v>14</v>
      </c>
      <c r="E255" t="n">
        <v>20</v>
      </c>
      <c r="F255" t="n">
        <v>196</v>
      </c>
      <c r="G255" t="n">
        <v>23</v>
      </c>
      <c r="H255" t="inlineStr">
        <is>
          <t>custom</t>
        </is>
      </c>
      <c r="I255" t="n">
        <v>14</v>
      </c>
      <c r="J255" t="n">
        <v>1</v>
      </c>
      <c r="K255" t="n">
        <v>0</v>
      </c>
      <c r="L255" t="n">
        <v>0</v>
      </c>
      <c r="N255" t="inlineStr">
        <is>
          <t>FFFFFF</t>
        </is>
      </c>
      <c r="O255" t="inlineStr">
        <is>
          <t>L</t>
        </is>
      </c>
      <c r="Q255" t="n">
        <v>2</v>
      </c>
      <c r="R255" t="b">
        <v>0</v>
      </c>
      <c r="S255" t="inlineStr">
        <is>
          <t xml:space="preserve"> </t>
        </is>
      </c>
      <c r="T255" t="n">
        <v>0</v>
      </c>
    </row>
    <row r="256">
      <c r="A256" t="inlineStr">
        <is>
          <t>pos_description</t>
        </is>
      </c>
      <c r="B256" t="n">
        <v>16</v>
      </c>
      <c r="C256" t="inlineStr">
        <is>
          <t>T</t>
        </is>
      </c>
      <c r="D256" t="n">
        <v>14</v>
      </c>
      <c r="E256" t="n">
        <v>31</v>
      </c>
      <c r="F256" t="n">
        <v>196</v>
      </c>
      <c r="G256" t="n">
        <v>36</v>
      </c>
      <c r="H256" t="inlineStr">
        <is>
          <t>custom</t>
        </is>
      </c>
      <c r="I256" t="n">
        <v>12</v>
      </c>
      <c r="J256" t="n">
        <v>0</v>
      </c>
      <c r="K256" t="n">
        <v>0</v>
      </c>
      <c r="L256" t="n">
        <v>0</v>
      </c>
      <c r="N256" t="inlineStr">
        <is>
          <t>FFFFFF</t>
        </is>
      </c>
      <c r="O256" t="inlineStr">
        <is>
          <t>L</t>
        </is>
      </c>
      <c r="P256" s="1" t="n"/>
      <c r="Q256" t="n">
        <v>2</v>
      </c>
      <c r="R256" t="b">
        <v>1</v>
      </c>
      <c r="S256" t="inlineStr">
        <is>
          <t xml:space="preserve"> </t>
        </is>
      </c>
      <c r="T256" t="n">
        <v>0</v>
      </c>
    </row>
    <row r="257">
      <c r="A257" t="inlineStr">
        <is>
          <t>policy_checklist4_box</t>
        </is>
      </c>
      <c r="B257" t="n">
        <v>16</v>
      </c>
      <c r="C257" t="inlineStr">
        <is>
          <t>B</t>
        </is>
      </c>
      <c r="D257" t="n">
        <v>0</v>
      </c>
      <c r="E257" t="n">
        <v>120</v>
      </c>
      <c r="F257" t="n">
        <v>210</v>
      </c>
      <c r="G257" t="n">
        <v>168</v>
      </c>
      <c r="I257" t="n">
        <v>0</v>
      </c>
      <c r="J257" t="n">
        <v>1</v>
      </c>
      <c r="K257" t="n">
        <v>0</v>
      </c>
      <c r="L257" t="n">
        <v>0</v>
      </c>
      <c r="M257" t="inlineStr">
        <is>
          <t>d0d8dd</t>
        </is>
      </c>
      <c r="N257" t="inlineStr">
        <is>
          <t>d0d8dd</t>
        </is>
      </c>
      <c r="O257" t="inlineStr">
        <is>
          <t>L</t>
        </is>
      </c>
      <c r="Q257" t="n">
        <v>1</v>
      </c>
      <c r="R257" t="b">
        <v>0</v>
      </c>
      <c r="S257" t="inlineStr">
        <is>
          <t xml:space="preserve"> </t>
        </is>
      </c>
      <c r="T257" t="n">
        <v>0</v>
      </c>
    </row>
    <row r="258">
      <c r="A258" t="inlineStr">
        <is>
          <t>policy_checklist4_title</t>
        </is>
      </c>
      <c r="B258" t="n">
        <v>-999</v>
      </c>
      <c r="C258" t="inlineStr">
        <is>
          <t>T</t>
        </is>
      </c>
      <c r="D258" t="n">
        <v>14</v>
      </c>
      <c r="E258" t="n">
        <v>125</v>
      </c>
      <c r="F258" t="n">
        <v>196</v>
      </c>
      <c r="G258" t="n">
        <v>128</v>
      </c>
      <c r="H258" t="inlineStr">
        <is>
          <t>custom</t>
        </is>
      </c>
      <c r="I258" t="n">
        <v>12</v>
      </c>
      <c r="J258" t="n">
        <v>1</v>
      </c>
      <c r="K258" t="n">
        <v>0</v>
      </c>
      <c r="L258" t="n">
        <v>0</v>
      </c>
      <c r="N258" t="inlineStr">
        <is>
          <t>d0d8dd</t>
        </is>
      </c>
      <c r="O258" t="inlineStr">
        <is>
          <t>L</t>
        </is>
      </c>
      <c r="Q258" t="n">
        <v>3</v>
      </c>
      <c r="R258" t="b">
        <v>0</v>
      </c>
      <c r="S258" t="inlineStr">
        <is>
          <t xml:space="preserve"> </t>
        </is>
      </c>
      <c r="T258" t="n">
        <v>0</v>
      </c>
    </row>
    <row r="259">
      <c r="A259" t="inlineStr">
        <is>
          <t>policy_checklist_header1</t>
        </is>
      </c>
      <c r="B259" t="n">
        <v>16</v>
      </c>
      <c r="C259" t="inlineStr">
        <is>
          <t>T</t>
        </is>
      </c>
      <c r="D259" t="n">
        <v>113</v>
      </c>
      <c r="E259" t="n">
        <v>122</v>
      </c>
      <c r="F259" t="n">
        <v>140</v>
      </c>
      <c r="G259" t="n">
        <v>127</v>
      </c>
      <c r="H259" t="inlineStr">
        <is>
          <t>custom</t>
        </is>
      </c>
      <c r="I259" t="n">
        <v>10</v>
      </c>
      <c r="J259" t="n">
        <v>1</v>
      </c>
      <c r="K259" t="n">
        <v>0</v>
      </c>
      <c r="L259" t="n">
        <v>0</v>
      </c>
      <c r="N259" t="inlineStr">
        <is>
          <t>d0d8dd</t>
        </is>
      </c>
      <c r="O259" t="inlineStr">
        <is>
          <t>C</t>
        </is>
      </c>
      <c r="Q259" t="n">
        <v>3</v>
      </c>
      <c r="R259" t="b">
        <v>1</v>
      </c>
      <c r="S259" t="inlineStr">
        <is>
          <t xml:space="preserve"> </t>
        </is>
      </c>
      <c r="T259" t="n">
        <v>0</v>
      </c>
    </row>
    <row r="260">
      <c r="A260" t="inlineStr">
        <is>
          <t>policy_checklist_header2</t>
        </is>
      </c>
      <c r="B260" t="n">
        <v>16</v>
      </c>
      <c r="C260" t="inlineStr">
        <is>
          <t>T</t>
        </is>
      </c>
      <c r="D260" t="n">
        <v>140</v>
      </c>
      <c r="E260" t="n">
        <v>122</v>
      </c>
      <c r="F260" t="n">
        <v>169</v>
      </c>
      <c r="G260" t="n">
        <v>127</v>
      </c>
      <c r="H260" t="inlineStr">
        <is>
          <t>custom</t>
        </is>
      </c>
      <c r="I260" t="n">
        <v>10</v>
      </c>
      <c r="J260" t="n">
        <v>1</v>
      </c>
      <c r="K260" t="n">
        <v>0</v>
      </c>
      <c r="L260" t="n">
        <v>0</v>
      </c>
      <c r="N260" t="inlineStr">
        <is>
          <t>d0d8dd</t>
        </is>
      </c>
      <c r="O260" t="inlineStr">
        <is>
          <t>C</t>
        </is>
      </c>
      <c r="Q260" t="n">
        <v>3</v>
      </c>
      <c r="R260" t="b">
        <v>1</v>
      </c>
      <c r="S260" t="inlineStr">
        <is>
          <t xml:space="preserve"> </t>
        </is>
      </c>
      <c r="T260" t="n">
        <v>0</v>
      </c>
    </row>
    <row r="261">
      <c r="A261" t="inlineStr">
        <is>
          <t>policy_checklist_header3</t>
        </is>
      </c>
      <c r="B261" t="n">
        <v>16</v>
      </c>
      <c r="C261" t="inlineStr">
        <is>
          <t>T</t>
        </is>
      </c>
      <c r="D261" t="n">
        <v>168</v>
      </c>
      <c r="E261" t="n">
        <v>122</v>
      </c>
      <c r="F261" t="n">
        <v>194</v>
      </c>
      <c r="G261" t="n">
        <v>127</v>
      </c>
      <c r="H261" t="inlineStr">
        <is>
          <t>custom</t>
        </is>
      </c>
      <c r="I261" t="n">
        <v>10</v>
      </c>
      <c r="J261" t="n">
        <v>1</v>
      </c>
      <c r="K261" t="n">
        <v>0</v>
      </c>
      <c r="L261" t="n">
        <v>0</v>
      </c>
      <c r="N261" t="inlineStr">
        <is>
          <t>d0d8dd</t>
        </is>
      </c>
      <c r="O261" t="inlineStr">
        <is>
          <t>C</t>
        </is>
      </c>
      <c r="Q261" t="n">
        <v>3</v>
      </c>
      <c r="R261" t="b">
        <v>1</v>
      </c>
      <c r="S261" t="inlineStr">
        <is>
          <t xml:space="preserve"> </t>
        </is>
      </c>
      <c r="T261" t="n">
        <v>0</v>
      </c>
    </row>
    <row r="262">
      <c r="A262" t="inlineStr">
        <is>
          <t>table_vline1</t>
        </is>
      </c>
      <c r="B262" t="n">
        <v>16</v>
      </c>
      <c r="C262" t="inlineStr">
        <is>
          <t>L</t>
        </is>
      </c>
      <c r="D262" t="n">
        <v>114</v>
      </c>
      <c r="E262" t="n">
        <v>120</v>
      </c>
      <c r="F262" t="n">
        <v>114</v>
      </c>
      <c r="G262" t="n">
        <v>168</v>
      </c>
      <c r="I262" t="n">
        <v>0.5</v>
      </c>
      <c r="J262" t="n">
        <v>0</v>
      </c>
      <c r="K262" t="n">
        <v>0</v>
      </c>
      <c r="L262" t="n">
        <v>0</v>
      </c>
      <c r="M262" t="inlineStr">
        <is>
          <t>FFFFFF</t>
        </is>
      </c>
      <c r="N262" t="inlineStr">
        <is>
          <t>d0d8dd</t>
        </is>
      </c>
      <c r="O262" t="inlineStr">
        <is>
          <t>L</t>
        </is>
      </c>
      <c r="Q262" t="n">
        <v>4</v>
      </c>
      <c r="R262" t="b">
        <v>0</v>
      </c>
      <c r="S262" t="inlineStr">
        <is>
          <t xml:space="preserve"> </t>
        </is>
      </c>
      <c r="T262" t="n">
        <v>0</v>
      </c>
    </row>
    <row r="263">
      <c r="A263" t="inlineStr">
        <is>
          <t>table_vline2</t>
        </is>
      </c>
      <c r="B263" t="n">
        <v>16</v>
      </c>
      <c r="C263" t="inlineStr">
        <is>
          <t>L</t>
        </is>
      </c>
      <c r="D263" t="n">
        <v>141</v>
      </c>
      <c r="E263" t="n">
        <v>120</v>
      </c>
      <c r="F263" t="n">
        <v>141</v>
      </c>
      <c r="G263" t="n">
        <v>168</v>
      </c>
      <c r="I263" t="n">
        <v>0.5</v>
      </c>
      <c r="J263" t="n">
        <v>0</v>
      </c>
      <c r="K263" t="n">
        <v>0</v>
      </c>
      <c r="L263" t="n">
        <v>0</v>
      </c>
      <c r="M263" t="inlineStr">
        <is>
          <t>FFFFFF</t>
        </is>
      </c>
      <c r="N263" t="inlineStr">
        <is>
          <t>d0d8dd</t>
        </is>
      </c>
      <c r="O263" t="inlineStr">
        <is>
          <t>L</t>
        </is>
      </c>
      <c r="Q263" t="n">
        <v>4</v>
      </c>
      <c r="R263" t="b">
        <v>0</v>
      </c>
      <c r="S263" t="inlineStr">
        <is>
          <t xml:space="preserve"> </t>
        </is>
      </c>
      <c r="T263" t="n">
        <v>0</v>
      </c>
    </row>
    <row r="264">
      <c r="A264" t="inlineStr">
        <is>
          <t>table_vline3</t>
        </is>
      </c>
      <c r="B264" t="n">
        <v>16</v>
      </c>
      <c r="C264" t="inlineStr">
        <is>
          <t>L</t>
        </is>
      </c>
      <c r="D264" t="n">
        <v>168</v>
      </c>
      <c r="E264" t="n">
        <v>120</v>
      </c>
      <c r="F264" t="n">
        <v>168</v>
      </c>
      <c r="G264" t="n">
        <v>168</v>
      </c>
      <c r="I264" t="n">
        <v>0.5</v>
      </c>
      <c r="J264" t="n">
        <v>0</v>
      </c>
      <c r="K264" t="n">
        <v>0</v>
      </c>
      <c r="L264" t="n">
        <v>0</v>
      </c>
      <c r="M264" t="inlineStr">
        <is>
          <t>FFFFFF</t>
        </is>
      </c>
      <c r="N264" t="inlineStr">
        <is>
          <t>d0d8dd</t>
        </is>
      </c>
      <c r="O264" t="inlineStr">
        <is>
          <t>L</t>
        </is>
      </c>
      <c r="Q264" t="n">
        <v>4</v>
      </c>
      <c r="R264" t="b">
        <v>0</v>
      </c>
      <c r="S264" t="inlineStr">
        <is>
          <t xml:space="preserve"> </t>
        </is>
      </c>
      <c r="T264" t="n">
        <v>0</v>
      </c>
    </row>
    <row r="265">
      <c r="A265" t="inlineStr">
        <is>
          <t>table_hline_mid</t>
        </is>
      </c>
      <c r="B265" t="n">
        <v>16</v>
      </c>
      <c r="C265" t="inlineStr">
        <is>
          <t>L</t>
        </is>
      </c>
      <c r="D265" t="n">
        <v>14</v>
      </c>
      <c r="E265" t="n">
        <v>147</v>
      </c>
      <c r="F265" t="n">
        <v>196</v>
      </c>
      <c r="G265" t="n">
        <v>147</v>
      </c>
      <c r="I265" t="n">
        <v>0.5</v>
      </c>
      <c r="J265" t="n">
        <v>0</v>
      </c>
      <c r="K265" t="n">
        <v>0</v>
      </c>
      <c r="L265" t="n">
        <v>0</v>
      </c>
      <c r="M265" t="inlineStr">
        <is>
          <t>FFFFFF</t>
        </is>
      </c>
      <c r="N265" t="inlineStr">
        <is>
          <t>d0d8dd</t>
        </is>
      </c>
      <c r="O265" t="inlineStr">
        <is>
          <t>L</t>
        </is>
      </c>
      <c r="Q265" t="n">
        <v>4</v>
      </c>
      <c r="R265" t="b">
        <v>0</v>
      </c>
      <c r="S265" t="inlineStr">
        <is>
          <t xml:space="preserve"> </t>
        </is>
      </c>
      <c r="T265" t="n">
        <v>0</v>
      </c>
    </row>
    <row r="266">
      <c r="A266" t="inlineStr">
        <is>
          <t>Policy key</t>
        </is>
      </c>
      <c r="B266" t="n">
        <v>16</v>
      </c>
      <c r="C266" t="inlineStr">
        <is>
          <t>T</t>
        </is>
      </c>
      <c r="D266" t="n">
        <v>14</v>
      </c>
      <c r="E266" t="n">
        <v>170</v>
      </c>
      <c r="F266" t="n">
        <v>196</v>
      </c>
      <c r="G266" t="n">
        <v>174</v>
      </c>
      <c r="H266" t="inlineStr">
        <is>
          <t>custom</t>
        </is>
      </c>
      <c r="I266" t="n">
        <v>10</v>
      </c>
      <c r="J266" t="n">
        <v>0</v>
      </c>
      <c r="K266" t="n">
        <v>0</v>
      </c>
      <c r="L266" t="n">
        <v>0</v>
      </c>
      <c r="N266" t="inlineStr">
        <is>
          <t>FFFFFF</t>
        </is>
      </c>
      <c r="O266" t="inlineStr">
        <is>
          <t>R</t>
        </is>
      </c>
      <c r="Q266" t="n">
        <v>2</v>
      </c>
      <c r="R266" t="b">
        <v>0</v>
      </c>
      <c r="S266" t="inlineStr">
        <is>
          <t xml:space="preserve"> </t>
        </is>
      </c>
      <c r="T266" t="n">
        <v>0</v>
      </c>
    </row>
    <row r="267" ht="15.75" customHeight="1">
      <c r="A267" t="inlineStr">
        <is>
          <t>policy_checklist4_text1</t>
        </is>
      </c>
      <c r="B267" t="n">
        <v>16</v>
      </c>
      <c r="C267" t="inlineStr">
        <is>
          <t>T</t>
        </is>
      </c>
      <c r="D267" t="n">
        <v>14</v>
      </c>
      <c r="E267" t="n">
        <v>149</v>
      </c>
      <c r="F267" t="n">
        <v>112</v>
      </c>
      <c r="G267" t="n">
        <v>154</v>
      </c>
      <c r="H267" t="inlineStr">
        <is>
          <t>custom</t>
        </is>
      </c>
      <c r="I267" t="n">
        <v>12</v>
      </c>
      <c r="J267" t="n">
        <v>0</v>
      </c>
      <c r="K267" t="n">
        <v>0</v>
      </c>
      <c r="L267" t="n">
        <v>0</v>
      </c>
      <c r="N267" t="inlineStr">
        <is>
          <t>d0d8dd</t>
        </is>
      </c>
      <c r="O267" t="inlineStr">
        <is>
          <t>L</t>
        </is>
      </c>
      <c r="Q267" t="n">
        <v>3</v>
      </c>
      <c r="R267" t="b">
        <v>1</v>
      </c>
      <c r="S267" t="inlineStr">
        <is>
          <t xml:space="preserve"> </t>
        </is>
      </c>
      <c r="T267" t="n">
        <v>0</v>
      </c>
    </row>
    <row r="268">
      <c r="A268" t="inlineStr">
        <is>
          <t>policy_checklist4_text1_response1</t>
        </is>
      </c>
      <c r="B268" t="n">
        <v>16</v>
      </c>
      <c r="C268" t="inlineStr">
        <is>
          <t>T</t>
        </is>
      </c>
      <c r="D268" t="n">
        <v>113</v>
      </c>
      <c r="E268" t="n">
        <v>150</v>
      </c>
      <c r="F268" t="n">
        <v>140</v>
      </c>
      <c r="G268" t="n">
        <v>153</v>
      </c>
      <c r="H268" t="inlineStr">
        <is>
          <t>dejavu</t>
        </is>
      </c>
      <c r="I268" t="n">
        <v>16</v>
      </c>
      <c r="J268" t="n">
        <v>1</v>
      </c>
      <c r="K268" t="n">
        <v>0</v>
      </c>
      <c r="L268" t="n">
        <v>0</v>
      </c>
      <c r="N268" t="inlineStr">
        <is>
          <t>d0d8dd</t>
        </is>
      </c>
      <c r="O268" t="inlineStr">
        <is>
          <t>C</t>
        </is>
      </c>
      <c r="Q268" t="n">
        <v>2</v>
      </c>
      <c r="R268" t="b">
        <v>0</v>
      </c>
      <c r="S268" t="inlineStr">
        <is>
          <t xml:space="preserve"> </t>
        </is>
      </c>
      <c r="T268" t="n">
        <v>0</v>
      </c>
    </row>
    <row r="269">
      <c r="A269" t="inlineStr">
        <is>
          <t>policy_checklist4_text1_response2</t>
        </is>
      </c>
      <c r="B269" t="n">
        <v>16</v>
      </c>
      <c r="C269" t="inlineStr">
        <is>
          <t>T</t>
        </is>
      </c>
      <c r="D269" t="n">
        <v>140</v>
      </c>
      <c r="E269" t="n">
        <v>150</v>
      </c>
      <c r="F269" t="n">
        <v>169</v>
      </c>
      <c r="G269" t="n">
        <v>153</v>
      </c>
      <c r="H269" t="inlineStr">
        <is>
          <t>dejavu</t>
        </is>
      </c>
      <c r="I269" t="n">
        <v>16</v>
      </c>
      <c r="J269" t="n">
        <v>1</v>
      </c>
      <c r="K269" t="n">
        <v>0</v>
      </c>
      <c r="L269" t="n">
        <v>0</v>
      </c>
      <c r="N269" t="inlineStr">
        <is>
          <t>d0d8dd</t>
        </is>
      </c>
      <c r="O269" t="inlineStr">
        <is>
          <t>C</t>
        </is>
      </c>
      <c r="Q269" t="n">
        <v>2</v>
      </c>
      <c r="R269" t="b">
        <v>0</v>
      </c>
      <c r="S269" t="inlineStr">
        <is>
          <t xml:space="preserve"> </t>
        </is>
      </c>
      <c r="T269" t="n">
        <v>0</v>
      </c>
    </row>
    <row r="270">
      <c r="A270" t="inlineStr">
        <is>
          <t>policy_checklist4_text1_response3</t>
        </is>
      </c>
      <c r="B270" t="n">
        <v>16</v>
      </c>
      <c r="C270" t="inlineStr">
        <is>
          <t>T</t>
        </is>
      </c>
      <c r="D270" t="n">
        <v>168</v>
      </c>
      <c r="E270" t="n">
        <v>150</v>
      </c>
      <c r="F270" t="n">
        <v>194</v>
      </c>
      <c r="G270" t="n">
        <v>153</v>
      </c>
      <c r="H270" t="inlineStr">
        <is>
          <t>dejavu</t>
        </is>
      </c>
      <c r="I270" t="n">
        <v>16</v>
      </c>
      <c r="J270" t="n">
        <v>1</v>
      </c>
      <c r="K270" t="n">
        <v>0</v>
      </c>
      <c r="L270" t="n">
        <v>0</v>
      </c>
      <c r="N270" t="inlineStr">
        <is>
          <t>d0d8dd</t>
        </is>
      </c>
      <c r="O270" t="inlineStr">
        <is>
          <t>C</t>
        </is>
      </c>
      <c r="Q270" t="n">
        <v>2</v>
      </c>
      <c r="R270" t="b">
        <v>0</v>
      </c>
      <c r="S270" t="inlineStr">
        <is>
          <t xml:space="preserve"> </t>
        </is>
      </c>
      <c r="T270" t="n">
        <v>0</v>
      </c>
    </row>
    <row r="271">
      <c r="A271" t="inlineStr">
        <is>
          <t>pct_access_400m_public_open_space_large_score</t>
        </is>
      </c>
      <c r="B271" t="n">
        <v>17</v>
      </c>
      <c r="C271" t="inlineStr">
        <is>
          <t>I</t>
        </is>
      </c>
      <c r="D271" t="n">
        <v>14</v>
      </c>
      <c r="E271" t="n">
        <v>60</v>
      </c>
      <c r="F271" t="n">
        <v>196</v>
      </c>
      <c r="G271" t="n">
        <v>225</v>
      </c>
      <c r="I271" t="n">
        <v>0</v>
      </c>
      <c r="J271" t="n">
        <v>0</v>
      </c>
      <c r="K271" t="n">
        <v>0</v>
      </c>
      <c r="L271" t="n">
        <v>0</v>
      </c>
      <c r="N271" t="inlineStr">
        <is>
          <t>FFFFFF</t>
        </is>
      </c>
      <c r="O271" t="inlineStr">
        <is>
          <t>L</t>
        </is>
      </c>
      <c r="Q271" t="n">
        <v>2</v>
      </c>
      <c r="R271" t="b">
        <v>0</v>
      </c>
      <c r="S271" t="inlineStr">
        <is>
          <t xml:space="preserve"> </t>
        </is>
      </c>
      <c r="T271" t="n">
        <v>0</v>
      </c>
    </row>
    <row r="272">
      <c r="A272" t="inlineStr">
        <is>
          <t>pct_access_400m_public_open_space_large_score_label</t>
        </is>
      </c>
      <c r="B272" t="n">
        <v>17</v>
      </c>
      <c r="C272" t="inlineStr">
        <is>
          <t>T</t>
        </is>
      </c>
      <c r="D272" t="n">
        <v>30</v>
      </c>
      <c r="E272" t="n">
        <v>233</v>
      </c>
      <c r="F272" t="n">
        <v>180</v>
      </c>
      <c r="G272" t="n">
        <v>241</v>
      </c>
      <c r="H272" t="inlineStr">
        <is>
          <t>custom</t>
        </is>
      </c>
      <c r="I272" t="n">
        <v>16</v>
      </c>
      <c r="J272" t="n">
        <v>0</v>
      </c>
      <c r="K272" t="n">
        <v>0</v>
      </c>
      <c r="L272" t="n">
        <v>0</v>
      </c>
      <c r="M272" t="inlineStr">
        <is>
          <t>584b9f</t>
        </is>
      </c>
      <c r="N272" t="inlineStr">
        <is>
          <t>FFFFFF</t>
        </is>
      </c>
      <c r="O272" t="inlineStr">
        <is>
          <t>C</t>
        </is>
      </c>
      <c r="Q272" t="n">
        <v>2</v>
      </c>
      <c r="R272" t="b">
        <v>1</v>
      </c>
      <c r="S272" t="inlineStr">
        <is>
          <t xml:space="preserve"> </t>
        </is>
      </c>
      <c r="T272" t="n">
        <v>0</v>
      </c>
    </row>
    <row r="273">
      <c r="A273" t="inlineStr">
        <is>
          <t>Urban air quality, and nature-based solutions</t>
        </is>
      </c>
      <c r="B273" t="n">
        <v>18</v>
      </c>
      <c r="C273" t="inlineStr">
        <is>
          <t>T</t>
        </is>
      </c>
      <c r="D273" t="n">
        <v>14</v>
      </c>
      <c r="E273" t="n">
        <v>20</v>
      </c>
      <c r="F273" t="n">
        <v>196</v>
      </c>
      <c r="G273" t="n">
        <v>25</v>
      </c>
      <c r="H273" t="inlineStr">
        <is>
          <t>custom</t>
        </is>
      </c>
      <c r="I273" t="n">
        <v>14</v>
      </c>
      <c r="J273" t="n">
        <v>1</v>
      </c>
      <c r="K273" t="n">
        <v>0</v>
      </c>
      <c r="L273" t="n">
        <v>0</v>
      </c>
      <c r="N273" t="inlineStr">
        <is>
          <t>FFFFFF</t>
        </is>
      </c>
      <c r="O273" t="inlineStr">
        <is>
          <t>L</t>
        </is>
      </c>
      <c r="Q273" t="n">
        <v>2</v>
      </c>
      <c r="R273" t="b">
        <v>1</v>
      </c>
      <c r="S273" t="inlineStr">
        <is>
          <t xml:space="preserve"> </t>
        </is>
      </c>
      <c r="T273" t="n">
        <v>0</v>
      </c>
    </row>
    <row r="274">
      <c r="A274" t="inlineStr">
        <is>
          <t>Climate resilient cities policies description</t>
        </is>
      </c>
      <c r="B274" t="n">
        <v>18</v>
      </c>
      <c r="C274" t="inlineStr">
        <is>
          <t>T</t>
        </is>
      </c>
      <c r="D274" t="n">
        <v>14</v>
      </c>
      <c r="E274" t="n">
        <v>33</v>
      </c>
      <c r="F274" t="n">
        <v>196</v>
      </c>
      <c r="G274" t="n">
        <v>38</v>
      </c>
      <c r="H274" t="inlineStr">
        <is>
          <t>custom</t>
        </is>
      </c>
      <c r="I274" t="n">
        <v>12</v>
      </c>
      <c r="J274" t="n">
        <v>0</v>
      </c>
      <c r="K274" t="n">
        <v>0</v>
      </c>
      <c r="L274" t="n">
        <v>0</v>
      </c>
      <c r="N274" t="inlineStr">
        <is>
          <t>FFFFFF</t>
        </is>
      </c>
      <c r="O274" t="inlineStr">
        <is>
          <t>L</t>
        </is>
      </c>
      <c r="Q274" t="n">
        <v>2</v>
      </c>
      <c r="R274" t="b">
        <v>1</v>
      </c>
      <c r="T274" t="n">
        <v>0</v>
      </c>
    </row>
    <row r="275">
      <c r="A275" t="inlineStr">
        <is>
          <t>policy_box_checklist5</t>
        </is>
      </c>
      <c r="B275" t="n">
        <v>18</v>
      </c>
      <c r="C275" t="inlineStr">
        <is>
          <t>B</t>
        </is>
      </c>
      <c r="D275" t="n">
        <v>0</v>
      </c>
      <c r="E275" t="n">
        <v>120</v>
      </c>
      <c r="F275" t="n">
        <v>210</v>
      </c>
      <c r="G275" t="n">
        <v>213</v>
      </c>
      <c r="I275" t="n">
        <v>0</v>
      </c>
      <c r="J275" t="n">
        <v>1</v>
      </c>
      <c r="K275" t="n">
        <v>0</v>
      </c>
      <c r="L275" t="n">
        <v>0</v>
      </c>
      <c r="M275" t="inlineStr">
        <is>
          <t>d0d8dd</t>
        </is>
      </c>
      <c r="N275" t="inlineStr">
        <is>
          <t>d0d8dd</t>
        </is>
      </c>
      <c r="O275" t="inlineStr">
        <is>
          <t>L</t>
        </is>
      </c>
      <c r="Q275" t="n">
        <v>1</v>
      </c>
      <c r="R275" t="b">
        <v>0</v>
      </c>
      <c r="S275" t="inlineStr">
        <is>
          <t xml:space="preserve"> </t>
        </is>
      </c>
      <c r="T275" t="n">
        <v>0</v>
      </c>
    </row>
    <row r="276">
      <c r="A276" t="inlineStr">
        <is>
          <t>policy_checklist5_title</t>
        </is>
      </c>
      <c r="B276" t="n">
        <v>18</v>
      </c>
      <c r="C276" t="inlineStr">
        <is>
          <t>T</t>
        </is>
      </c>
      <c r="D276" t="n">
        <v>14</v>
      </c>
      <c r="E276" t="n">
        <v>125</v>
      </c>
      <c r="F276" t="n">
        <v>196</v>
      </c>
      <c r="G276" t="n">
        <v>128</v>
      </c>
      <c r="H276" t="inlineStr">
        <is>
          <t>custom</t>
        </is>
      </c>
      <c r="I276" t="n">
        <v>12</v>
      </c>
      <c r="J276" t="n">
        <v>1</v>
      </c>
      <c r="K276" t="n">
        <v>0</v>
      </c>
      <c r="L276" t="n">
        <v>0</v>
      </c>
      <c r="N276" t="inlineStr">
        <is>
          <t>d0d8dd</t>
        </is>
      </c>
      <c r="O276" t="inlineStr">
        <is>
          <t>L</t>
        </is>
      </c>
      <c r="Q276" t="n">
        <v>3</v>
      </c>
      <c r="R276" t="b">
        <v>0</v>
      </c>
      <c r="S276" t="inlineStr">
        <is>
          <t xml:space="preserve"> </t>
        </is>
      </c>
      <c r="T276" t="n">
        <v>0</v>
      </c>
    </row>
    <row r="277">
      <c r="A277" t="inlineStr">
        <is>
          <t>policy_checklist_header1</t>
        </is>
      </c>
      <c r="B277" t="n">
        <v>18</v>
      </c>
      <c r="C277" t="inlineStr">
        <is>
          <t>T</t>
        </is>
      </c>
      <c r="D277" t="n">
        <v>113</v>
      </c>
      <c r="E277" t="n">
        <v>122</v>
      </c>
      <c r="F277" t="n">
        <v>140</v>
      </c>
      <c r="G277" t="n">
        <v>127</v>
      </c>
      <c r="H277" t="inlineStr">
        <is>
          <t>custom</t>
        </is>
      </c>
      <c r="I277" t="n">
        <v>10</v>
      </c>
      <c r="J277" t="n">
        <v>1</v>
      </c>
      <c r="K277" t="n">
        <v>0</v>
      </c>
      <c r="L277" t="n">
        <v>0</v>
      </c>
      <c r="N277" t="inlineStr">
        <is>
          <t>d0d8dd</t>
        </is>
      </c>
      <c r="O277" t="inlineStr">
        <is>
          <t>C</t>
        </is>
      </c>
      <c r="Q277" t="n">
        <v>3</v>
      </c>
      <c r="R277" t="b">
        <v>1</v>
      </c>
      <c r="S277" t="inlineStr">
        <is>
          <t xml:space="preserve"> </t>
        </is>
      </c>
      <c r="T277" t="n">
        <v>0</v>
      </c>
    </row>
    <row r="278">
      <c r="A278" t="inlineStr">
        <is>
          <t>policy_checklist_header2</t>
        </is>
      </c>
      <c r="B278" t="n">
        <v>18</v>
      </c>
      <c r="C278" t="inlineStr">
        <is>
          <t>T</t>
        </is>
      </c>
      <c r="D278" t="n">
        <v>140</v>
      </c>
      <c r="E278" t="n">
        <v>122</v>
      </c>
      <c r="F278" t="n">
        <v>169</v>
      </c>
      <c r="G278" t="n">
        <v>127</v>
      </c>
      <c r="H278" t="inlineStr">
        <is>
          <t>custom</t>
        </is>
      </c>
      <c r="I278" t="n">
        <v>10</v>
      </c>
      <c r="J278" t="n">
        <v>1</v>
      </c>
      <c r="K278" t="n">
        <v>0</v>
      </c>
      <c r="L278" t="n">
        <v>0</v>
      </c>
      <c r="N278" t="inlineStr">
        <is>
          <t>d0d8dd</t>
        </is>
      </c>
      <c r="O278" t="inlineStr">
        <is>
          <t>C</t>
        </is>
      </c>
      <c r="Q278" t="n">
        <v>3</v>
      </c>
      <c r="R278" t="b">
        <v>1</v>
      </c>
      <c r="S278" t="inlineStr">
        <is>
          <t xml:space="preserve"> </t>
        </is>
      </c>
      <c r="T278" t="n">
        <v>0</v>
      </c>
    </row>
    <row r="279">
      <c r="A279" t="inlineStr">
        <is>
          <t>policy_checklist_header3</t>
        </is>
      </c>
      <c r="B279" t="n">
        <v>18</v>
      </c>
      <c r="C279" t="inlineStr">
        <is>
          <t>T</t>
        </is>
      </c>
      <c r="D279" t="n">
        <v>168</v>
      </c>
      <c r="E279" t="n">
        <v>122</v>
      </c>
      <c r="F279" t="n">
        <v>194</v>
      </c>
      <c r="G279" t="n">
        <v>127</v>
      </c>
      <c r="H279" t="inlineStr">
        <is>
          <t>custom</t>
        </is>
      </c>
      <c r="I279" t="n">
        <v>10</v>
      </c>
      <c r="J279" t="n">
        <v>1</v>
      </c>
      <c r="K279" t="n">
        <v>0</v>
      </c>
      <c r="L279" t="n">
        <v>0</v>
      </c>
      <c r="N279" t="inlineStr">
        <is>
          <t>d0d8dd</t>
        </is>
      </c>
      <c r="O279" t="inlineStr">
        <is>
          <t>C</t>
        </is>
      </c>
      <c r="Q279" t="n">
        <v>3</v>
      </c>
      <c r="R279" t="b">
        <v>1</v>
      </c>
      <c r="S279" t="inlineStr">
        <is>
          <t xml:space="preserve"> </t>
        </is>
      </c>
      <c r="T279" t="n">
        <v>0</v>
      </c>
    </row>
    <row r="280">
      <c r="A280" t="inlineStr">
        <is>
          <t>table_vline1</t>
        </is>
      </c>
      <c r="B280" t="n">
        <v>18</v>
      </c>
      <c r="C280" t="inlineStr">
        <is>
          <t>L</t>
        </is>
      </c>
      <c r="D280" t="n">
        <v>114</v>
      </c>
      <c r="E280" t="n">
        <v>120</v>
      </c>
      <c r="F280" t="n">
        <v>114</v>
      </c>
      <c r="G280" t="n">
        <v>213</v>
      </c>
      <c r="I280" t="n">
        <v>0.5</v>
      </c>
      <c r="J280" t="n">
        <v>0</v>
      </c>
      <c r="K280" t="n">
        <v>0</v>
      </c>
      <c r="L280" t="n">
        <v>0</v>
      </c>
      <c r="M280" t="inlineStr">
        <is>
          <t>FFFFFF</t>
        </is>
      </c>
      <c r="N280" t="inlineStr">
        <is>
          <t>d0d8dd</t>
        </is>
      </c>
      <c r="O280" t="inlineStr">
        <is>
          <t>L</t>
        </is>
      </c>
      <c r="Q280" t="n">
        <v>4</v>
      </c>
      <c r="R280" t="b">
        <v>0</v>
      </c>
      <c r="S280" t="inlineStr">
        <is>
          <t xml:space="preserve"> </t>
        </is>
      </c>
      <c r="T280" t="n">
        <v>0</v>
      </c>
    </row>
    <row r="281">
      <c r="A281" t="inlineStr">
        <is>
          <t>table_vline2</t>
        </is>
      </c>
      <c r="B281" t="n">
        <v>18</v>
      </c>
      <c r="C281" t="inlineStr">
        <is>
          <t>L</t>
        </is>
      </c>
      <c r="D281" t="n">
        <v>141</v>
      </c>
      <c r="E281" t="n">
        <v>120</v>
      </c>
      <c r="F281" t="n">
        <v>141</v>
      </c>
      <c r="G281" t="n">
        <v>213</v>
      </c>
      <c r="I281" t="n">
        <v>0.5</v>
      </c>
      <c r="J281" t="n">
        <v>0</v>
      </c>
      <c r="K281" t="n">
        <v>0</v>
      </c>
      <c r="L281" t="n">
        <v>0</v>
      </c>
      <c r="M281" t="inlineStr">
        <is>
          <t>FFFFFF</t>
        </is>
      </c>
      <c r="N281" t="inlineStr">
        <is>
          <t>d0d8dd</t>
        </is>
      </c>
      <c r="O281" t="inlineStr">
        <is>
          <t>L</t>
        </is>
      </c>
      <c r="Q281" t="n">
        <v>4</v>
      </c>
      <c r="R281" t="b">
        <v>0</v>
      </c>
      <c r="S281" t="inlineStr">
        <is>
          <t xml:space="preserve"> </t>
        </is>
      </c>
      <c r="T281" t="n">
        <v>0</v>
      </c>
    </row>
    <row r="282">
      <c r="A282" t="inlineStr">
        <is>
          <t>table_vline3</t>
        </is>
      </c>
      <c r="B282" t="n">
        <v>18</v>
      </c>
      <c r="C282" t="inlineStr">
        <is>
          <t>L</t>
        </is>
      </c>
      <c r="D282" t="n">
        <v>168</v>
      </c>
      <c r="E282" t="n">
        <v>120</v>
      </c>
      <c r="F282" t="n">
        <v>168</v>
      </c>
      <c r="G282" t="n">
        <v>213</v>
      </c>
      <c r="I282" t="n">
        <v>0.5</v>
      </c>
      <c r="J282" t="n">
        <v>0</v>
      </c>
      <c r="K282" t="n">
        <v>0</v>
      </c>
      <c r="L282" t="n">
        <v>0</v>
      </c>
      <c r="M282" t="inlineStr">
        <is>
          <t>FFFFFF</t>
        </is>
      </c>
      <c r="N282" t="inlineStr">
        <is>
          <t>d0d8dd</t>
        </is>
      </c>
      <c r="O282" t="inlineStr">
        <is>
          <t>L</t>
        </is>
      </c>
      <c r="Q282" t="n">
        <v>4</v>
      </c>
      <c r="R282" t="b">
        <v>0</v>
      </c>
      <c r="S282" t="inlineStr">
        <is>
          <t xml:space="preserve"> </t>
        </is>
      </c>
      <c r="T282" t="n">
        <v>0</v>
      </c>
    </row>
    <row r="283">
      <c r="A283" t="inlineStr">
        <is>
          <t>table_hline_mid</t>
        </is>
      </c>
      <c r="B283" t="n">
        <v>18</v>
      </c>
      <c r="C283" t="inlineStr">
        <is>
          <t>L</t>
        </is>
      </c>
      <c r="D283" t="n">
        <v>14</v>
      </c>
      <c r="E283" t="n">
        <v>147</v>
      </c>
      <c r="F283" t="n">
        <v>196</v>
      </c>
      <c r="G283" t="n">
        <v>147</v>
      </c>
      <c r="I283" t="n">
        <v>0.5</v>
      </c>
      <c r="J283" t="n">
        <v>0</v>
      </c>
      <c r="K283" t="n">
        <v>0</v>
      </c>
      <c r="L283" t="n">
        <v>0</v>
      </c>
      <c r="M283" t="inlineStr">
        <is>
          <t>FFFFFF</t>
        </is>
      </c>
      <c r="N283" t="inlineStr">
        <is>
          <t>d0d8dd</t>
        </is>
      </c>
      <c r="O283" t="inlineStr">
        <is>
          <t>L</t>
        </is>
      </c>
      <c r="Q283" t="n">
        <v>4</v>
      </c>
      <c r="R283" t="b">
        <v>0</v>
      </c>
      <c r="S283" t="inlineStr">
        <is>
          <t xml:space="preserve"> </t>
        </is>
      </c>
      <c r="T283" t="n">
        <v>0</v>
      </c>
    </row>
    <row r="284">
      <c r="A284" t="inlineStr">
        <is>
          <t>Policy key</t>
        </is>
      </c>
      <c r="B284" t="n">
        <v>18</v>
      </c>
      <c r="C284" t="inlineStr">
        <is>
          <t>T</t>
        </is>
      </c>
      <c r="D284" t="n">
        <v>14</v>
      </c>
      <c r="E284" t="n">
        <v>215</v>
      </c>
      <c r="F284" t="n">
        <v>196</v>
      </c>
      <c r="G284" t="n">
        <v>219</v>
      </c>
      <c r="H284" t="inlineStr">
        <is>
          <t>custom</t>
        </is>
      </c>
      <c r="I284" t="n">
        <v>10</v>
      </c>
      <c r="J284" t="n">
        <v>0</v>
      </c>
      <c r="K284" t="n">
        <v>0</v>
      </c>
      <c r="L284" t="n">
        <v>0</v>
      </c>
      <c r="N284" t="inlineStr">
        <is>
          <t>FFFFFF</t>
        </is>
      </c>
      <c r="O284" t="inlineStr">
        <is>
          <t>R</t>
        </is>
      </c>
      <c r="Q284" t="n">
        <v>2</v>
      </c>
      <c r="R284" t="b">
        <v>0</v>
      </c>
      <c r="S284" t="inlineStr">
        <is>
          <t xml:space="preserve"> </t>
        </is>
      </c>
      <c r="T284" t="n">
        <v>0</v>
      </c>
    </row>
    <row r="285">
      <c r="A285" t="inlineStr">
        <is>
          <t>policy_checklist5_text1</t>
        </is>
      </c>
      <c r="B285" t="n">
        <v>18</v>
      </c>
      <c r="C285" t="inlineStr">
        <is>
          <t>T</t>
        </is>
      </c>
      <c r="D285" t="n">
        <v>16</v>
      </c>
      <c r="E285" t="n">
        <v>149</v>
      </c>
      <c r="F285" t="n">
        <v>112</v>
      </c>
      <c r="G285" t="n">
        <v>154</v>
      </c>
      <c r="H285" t="inlineStr">
        <is>
          <t>custom</t>
        </is>
      </c>
      <c r="I285" t="n">
        <v>12</v>
      </c>
      <c r="J285" t="n">
        <v>0</v>
      </c>
      <c r="K285" t="n">
        <v>0</v>
      </c>
      <c r="L285" t="n">
        <v>0</v>
      </c>
      <c r="N285" t="inlineStr">
        <is>
          <t>d0d8dd</t>
        </is>
      </c>
      <c r="O285" t="inlineStr">
        <is>
          <t>L</t>
        </is>
      </c>
      <c r="Q285" t="n">
        <v>3</v>
      </c>
      <c r="R285" t="b">
        <v>1</v>
      </c>
      <c r="S285" t="inlineStr">
        <is>
          <t xml:space="preserve"> </t>
        </is>
      </c>
      <c r="T285" t="n">
        <v>0</v>
      </c>
    </row>
    <row r="286">
      <c r="A286" t="inlineStr">
        <is>
          <t>policy_checklist5_text1_response1</t>
        </is>
      </c>
      <c r="B286" t="n">
        <v>18</v>
      </c>
      <c r="C286" t="inlineStr">
        <is>
          <t>T</t>
        </is>
      </c>
      <c r="D286" t="n">
        <v>113</v>
      </c>
      <c r="E286" t="n">
        <v>150</v>
      </c>
      <c r="F286" t="n">
        <v>140</v>
      </c>
      <c r="G286" t="n">
        <v>153</v>
      </c>
      <c r="H286" t="inlineStr">
        <is>
          <t>dejavu</t>
        </is>
      </c>
      <c r="I286" t="n">
        <v>16</v>
      </c>
      <c r="J286" t="n">
        <v>1</v>
      </c>
      <c r="K286" t="n">
        <v>0</v>
      </c>
      <c r="L286" t="n">
        <v>0</v>
      </c>
      <c r="N286" t="inlineStr">
        <is>
          <t>d0d8dd</t>
        </is>
      </c>
      <c r="O286" t="inlineStr">
        <is>
          <t>C</t>
        </is>
      </c>
      <c r="Q286" t="n">
        <v>2</v>
      </c>
      <c r="R286" t="b">
        <v>0</v>
      </c>
      <c r="S286" t="inlineStr">
        <is>
          <t xml:space="preserve"> </t>
        </is>
      </c>
      <c r="T286" t="n">
        <v>0</v>
      </c>
    </row>
    <row r="287">
      <c r="A287" t="inlineStr">
        <is>
          <t>policy_checklist5_text1_response2</t>
        </is>
      </c>
      <c r="B287" t="n">
        <v>18</v>
      </c>
      <c r="C287" t="inlineStr">
        <is>
          <t>T</t>
        </is>
      </c>
      <c r="D287" t="n">
        <v>140</v>
      </c>
      <c r="E287" t="n">
        <v>150</v>
      </c>
      <c r="F287" t="n">
        <v>169</v>
      </c>
      <c r="G287" t="n">
        <v>153</v>
      </c>
      <c r="H287" t="inlineStr">
        <is>
          <t>dejavu</t>
        </is>
      </c>
      <c r="I287" t="n">
        <v>16</v>
      </c>
      <c r="J287" t="n">
        <v>1</v>
      </c>
      <c r="K287" t="n">
        <v>0</v>
      </c>
      <c r="L287" t="n">
        <v>0</v>
      </c>
      <c r="N287" t="inlineStr">
        <is>
          <t>d0d8dd</t>
        </is>
      </c>
      <c r="O287" t="inlineStr">
        <is>
          <t>C</t>
        </is>
      </c>
      <c r="Q287" t="n">
        <v>2</v>
      </c>
      <c r="R287" t="b">
        <v>0</v>
      </c>
      <c r="S287" t="inlineStr">
        <is>
          <t xml:space="preserve"> </t>
        </is>
      </c>
      <c r="T287" t="n">
        <v>0</v>
      </c>
    </row>
    <row r="288">
      <c r="A288" t="inlineStr">
        <is>
          <t>policy_checklist5_text1_response3</t>
        </is>
      </c>
      <c r="B288" t="n">
        <v>18</v>
      </c>
      <c r="C288" t="inlineStr">
        <is>
          <t>T</t>
        </is>
      </c>
      <c r="D288" t="n">
        <v>168</v>
      </c>
      <c r="E288" t="n">
        <v>150</v>
      </c>
      <c r="F288" t="n">
        <v>194</v>
      </c>
      <c r="G288" t="n">
        <v>153</v>
      </c>
      <c r="H288" t="inlineStr">
        <is>
          <t>dejavu</t>
        </is>
      </c>
      <c r="I288" t="n">
        <v>16</v>
      </c>
      <c r="J288" t="n">
        <v>1</v>
      </c>
      <c r="K288" t="n">
        <v>0</v>
      </c>
      <c r="L288" t="n">
        <v>0</v>
      </c>
      <c r="N288" t="inlineStr">
        <is>
          <t>d0d8dd</t>
        </is>
      </c>
      <c r="O288" t="inlineStr">
        <is>
          <t>C</t>
        </is>
      </c>
      <c r="Q288" t="n">
        <v>2</v>
      </c>
      <c r="R288" t="b">
        <v>0</v>
      </c>
      <c r="S288" t="inlineStr">
        <is>
          <t xml:space="preserve"> </t>
        </is>
      </c>
      <c r="T288" t="n">
        <v>0</v>
      </c>
    </row>
    <row r="289">
      <c r="A289" t="inlineStr">
        <is>
          <t>policy_checklist5_text2</t>
        </is>
      </c>
      <c r="B289" t="n">
        <v>18</v>
      </c>
      <c r="C289" t="inlineStr">
        <is>
          <t>T</t>
        </is>
      </c>
      <c r="D289" t="n">
        <v>16</v>
      </c>
      <c r="E289" t="n">
        <v>164</v>
      </c>
      <c r="F289" t="n">
        <v>112</v>
      </c>
      <c r="G289" t="n">
        <v>169</v>
      </c>
      <c r="H289" t="inlineStr">
        <is>
          <t>custom</t>
        </is>
      </c>
      <c r="I289" t="n">
        <v>12</v>
      </c>
      <c r="J289" t="n">
        <v>0</v>
      </c>
      <c r="K289" t="n">
        <v>0</v>
      </c>
      <c r="L289" t="n">
        <v>0</v>
      </c>
      <c r="N289" t="inlineStr">
        <is>
          <t>d0d8dd</t>
        </is>
      </c>
      <c r="O289" t="inlineStr">
        <is>
          <t>L</t>
        </is>
      </c>
      <c r="Q289" t="n">
        <v>3</v>
      </c>
      <c r="R289" t="b">
        <v>1</v>
      </c>
      <c r="S289" t="inlineStr">
        <is>
          <t xml:space="preserve"> </t>
        </is>
      </c>
      <c r="T289" t="n">
        <v>0</v>
      </c>
    </row>
    <row r="290">
      <c r="A290" t="inlineStr">
        <is>
          <t>policy_checklist5_text2_response1</t>
        </is>
      </c>
      <c r="B290" t="n">
        <v>18</v>
      </c>
      <c r="C290" t="inlineStr">
        <is>
          <t>T</t>
        </is>
      </c>
      <c r="D290" t="n">
        <v>113</v>
      </c>
      <c r="E290" t="n">
        <v>165</v>
      </c>
      <c r="F290" t="n">
        <v>140</v>
      </c>
      <c r="G290" t="n">
        <v>168</v>
      </c>
      <c r="H290" t="inlineStr">
        <is>
          <t>dejavu</t>
        </is>
      </c>
      <c r="I290" t="n">
        <v>16</v>
      </c>
      <c r="J290" t="n">
        <v>1</v>
      </c>
      <c r="K290" t="n">
        <v>0</v>
      </c>
      <c r="L290" t="n">
        <v>0</v>
      </c>
      <c r="N290" t="inlineStr">
        <is>
          <t>d0d8dd</t>
        </is>
      </c>
      <c r="O290" t="inlineStr">
        <is>
          <t>C</t>
        </is>
      </c>
      <c r="Q290" t="n">
        <v>2</v>
      </c>
      <c r="R290" t="b">
        <v>0</v>
      </c>
      <c r="S290" t="inlineStr">
        <is>
          <t xml:space="preserve"> </t>
        </is>
      </c>
      <c r="T290" t="n">
        <v>0</v>
      </c>
    </row>
    <row r="291">
      <c r="A291" t="inlineStr">
        <is>
          <t>policy_checklist5_text2_response2</t>
        </is>
      </c>
      <c r="B291" t="n">
        <v>18</v>
      </c>
      <c r="C291" t="inlineStr">
        <is>
          <t>T</t>
        </is>
      </c>
      <c r="D291" t="n">
        <v>140</v>
      </c>
      <c r="E291" t="n">
        <v>165</v>
      </c>
      <c r="F291" t="n">
        <v>169</v>
      </c>
      <c r="G291" t="n">
        <v>168</v>
      </c>
      <c r="H291" t="inlineStr">
        <is>
          <t>dejavu</t>
        </is>
      </c>
      <c r="I291" t="n">
        <v>16</v>
      </c>
      <c r="J291" t="n">
        <v>1</v>
      </c>
      <c r="K291" t="n">
        <v>0</v>
      </c>
      <c r="L291" t="n">
        <v>0</v>
      </c>
      <c r="N291" t="inlineStr">
        <is>
          <t>d0d8dd</t>
        </is>
      </c>
      <c r="O291" t="inlineStr">
        <is>
          <t>C</t>
        </is>
      </c>
      <c r="Q291" t="n">
        <v>2</v>
      </c>
      <c r="R291" t="b">
        <v>0</v>
      </c>
      <c r="S291" t="inlineStr">
        <is>
          <t xml:space="preserve"> </t>
        </is>
      </c>
      <c r="T291" t="n">
        <v>0</v>
      </c>
    </row>
    <row r="292">
      <c r="A292" t="inlineStr">
        <is>
          <t>policy_checklist5_text2_response3</t>
        </is>
      </c>
      <c r="B292" t="n">
        <v>18</v>
      </c>
      <c r="C292" t="inlineStr">
        <is>
          <t>T</t>
        </is>
      </c>
      <c r="D292" t="n">
        <v>168</v>
      </c>
      <c r="E292" t="n">
        <v>165</v>
      </c>
      <c r="F292" t="n">
        <v>194</v>
      </c>
      <c r="G292" t="n">
        <v>168</v>
      </c>
      <c r="H292" t="inlineStr">
        <is>
          <t>dejavu</t>
        </is>
      </c>
      <c r="I292" t="n">
        <v>16</v>
      </c>
      <c r="J292" t="n">
        <v>1</v>
      </c>
      <c r="K292" t="n">
        <v>0</v>
      </c>
      <c r="L292" t="n">
        <v>0</v>
      </c>
      <c r="N292" t="inlineStr">
        <is>
          <t>d0d8dd</t>
        </is>
      </c>
      <c r="O292" t="inlineStr">
        <is>
          <t>C</t>
        </is>
      </c>
      <c r="Q292" t="n">
        <v>2</v>
      </c>
      <c r="R292" t="b">
        <v>0</v>
      </c>
      <c r="S292" t="inlineStr">
        <is>
          <t xml:space="preserve"> </t>
        </is>
      </c>
      <c r="T292" t="n">
        <v>0</v>
      </c>
    </row>
    <row r="293">
      <c r="A293" t="inlineStr">
        <is>
          <t>policy_checklist6_text1</t>
        </is>
      </c>
      <c r="B293" t="n">
        <v>18</v>
      </c>
      <c r="C293" t="inlineStr">
        <is>
          <t>T</t>
        </is>
      </c>
      <c r="D293" t="n">
        <v>16</v>
      </c>
      <c r="E293" t="n">
        <v>179</v>
      </c>
      <c r="F293" t="n">
        <v>112</v>
      </c>
      <c r="G293" t="n">
        <v>184</v>
      </c>
      <c r="H293" t="inlineStr">
        <is>
          <t>custom</t>
        </is>
      </c>
      <c r="I293" t="n">
        <v>12</v>
      </c>
      <c r="J293" t="n">
        <v>0</v>
      </c>
      <c r="K293" t="n">
        <v>0</v>
      </c>
      <c r="L293" t="n">
        <v>0</v>
      </c>
      <c r="N293" t="inlineStr">
        <is>
          <t>d0d8dd</t>
        </is>
      </c>
      <c r="O293" t="inlineStr">
        <is>
          <t>L</t>
        </is>
      </c>
      <c r="Q293" t="n">
        <v>3</v>
      </c>
      <c r="R293" t="b">
        <v>1</v>
      </c>
      <c r="S293" t="inlineStr">
        <is>
          <t xml:space="preserve"> </t>
        </is>
      </c>
      <c r="T293" t="n">
        <v>0</v>
      </c>
    </row>
    <row r="294">
      <c r="A294" t="inlineStr">
        <is>
          <t>policy_checklist6_text1_response1</t>
        </is>
      </c>
      <c r="B294" t="n">
        <v>18</v>
      </c>
      <c r="C294" t="inlineStr">
        <is>
          <t>T</t>
        </is>
      </c>
      <c r="D294" t="n">
        <v>113</v>
      </c>
      <c r="E294" t="n">
        <v>180</v>
      </c>
      <c r="F294" t="n">
        <v>140</v>
      </c>
      <c r="G294" t="n">
        <v>183</v>
      </c>
      <c r="H294" t="inlineStr">
        <is>
          <t>dejavu</t>
        </is>
      </c>
      <c r="I294" t="n">
        <v>16</v>
      </c>
      <c r="J294" t="n">
        <v>1</v>
      </c>
      <c r="K294" t="n">
        <v>0</v>
      </c>
      <c r="L294" t="n">
        <v>0</v>
      </c>
      <c r="N294" t="inlineStr">
        <is>
          <t>d0d8dd</t>
        </is>
      </c>
      <c r="O294" t="inlineStr">
        <is>
          <t>C</t>
        </is>
      </c>
      <c r="Q294" t="n">
        <v>2</v>
      </c>
      <c r="R294" t="b">
        <v>0</v>
      </c>
      <c r="S294" t="inlineStr">
        <is>
          <t xml:space="preserve"> </t>
        </is>
      </c>
      <c r="T294" t="n">
        <v>0</v>
      </c>
    </row>
    <row r="295">
      <c r="A295" t="inlineStr">
        <is>
          <t>policy_checklist6_text1_response2</t>
        </is>
      </c>
      <c r="B295" t="n">
        <v>18</v>
      </c>
      <c r="C295" t="inlineStr">
        <is>
          <t>T</t>
        </is>
      </c>
      <c r="D295" t="n">
        <v>140</v>
      </c>
      <c r="E295" t="n">
        <v>180</v>
      </c>
      <c r="F295" t="n">
        <v>169</v>
      </c>
      <c r="G295" t="n">
        <v>183</v>
      </c>
      <c r="H295" t="inlineStr">
        <is>
          <t>dejavu</t>
        </is>
      </c>
      <c r="I295" t="n">
        <v>16</v>
      </c>
      <c r="J295" t="n">
        <v>1</v>
      </c>
      <c r="K295" t="n">
        <v>0</v>
      </c>
      <c r="L295" t="n">
        <v>0</v>
      </c>
      <c r="N295" t="inlineStr">
        <is>
          <t>d0d8dd</t>
        </is>
      </c>
      <c r="O295" t="inlineStr">
        <is>
          <t>C</t>
        </is>
      </c>
      <c r="Q295" t="n">
        <v>2</v>
      </c>
      <c r="R295" t="b">
        <v>0</v>
      </c>
      <c r="S295" t="inlineStr">
        <is>
          <t xml:space="preserve"> </t>
        </is>
      </c>
      <c r="T295" t="n">
        <v>0</v>
      </c>
    </row>
    <row r="296">
      <c r="A296" t="inlineStr">
        <is>
          <t>policy_checklist6_text1_response3</t>
        </is>
      </c>
      <c r="B296" t="n">
        <v>18</v>
      </c>
      <c r="C296" t="inlineStr">
        <is>
          <t>T</t>
        </is>
      </c>
      <c r="D296" t="n">
        <v>168</v>
      </c>
      <c r="E296" t="n">
        <v>180</v>
      </c>
      <c r="F296" t="n">
        <v>194</v>
      </c>
      <c r="G296" t="n">
        <v>183</v>
      </c>
      <c r="H296" t="inlineStr">
        <is>
          <t>dejavu</t>
        </is>
      </c>
      <c r="I296" t="n">
        <v>16</v>
      </c>
      <c r="J296" t="n">
        <v>1</v>
      </c>
      <c r="K296" t="n">
        <v>0</v>
      </c>
      <c r="L296" t="n">
        <v>0</v>
      </c>
      <c r="N296" t="inlineStr">
        <is>
          <t>d0d8dd</t>
        </is>
      </c>
      <c r="O296" t="inlineStr">
        <is>
          <t>C</t>
        </is>
      </c>
      <c r="Q296" t="n">
        <v>2</v>
      </c>
      <c r="R296" t="b">
        <v>0</v>
      </c>
      <c r="S296" t="inlineStr">
        <is>
          <t xml:space="preserve"> </t>
        </is>
      </c>
      <c r="T296" t="n">
        <v>0</v>
      </c>
    </row>
    <row r="297">
      <c r="A297" t="inlineStr">
        <is>
          <t>policy_checklist6_text2</t>
        </is>
      </c>
      <c r="B297" t="n">
        <v>18</v>
      </c>
      <c r="C297" t="inlineStr">
        <is>
          <t>T</t>
        </is>
      </c>
      <c r="D297" t="n">
        <v>16</v>
      </c>
      <c r="E297" t="n">
        <v>194</v>
      </c>
      <c r="F297" t="n">
        <v>112</v>
      </c>
      <c r="G297" t="n">
        <v>199</v>
      </c>
      <c r="H297" t="inlineStr">
        <is>
          <t>custom</t>
        </is>
      </c>
      <c r="I297" t="n">
        <v>12</v>
      </c>
      <c r="J297" t="n">
        <v>0</v>
      </c>
      <c r="K297" t="n">
        <v>0</v>
      </c>
      <c r="L297" t="n">
        <v>0</v>
      </c>
      <c r="N297" t="inlineStr">
        <is>
          <t>d0d8dd</t>
        </is>
      </c>
      <c r="O297" t="inlineStr">
        <is>
          <t>L</t>
        </is>
      </c>
      <c r="Q297" t="n">
        <v>3</v>
      </c>
      <c r="R297" t="b">
        <v>1</v>
      </c>
      <c r="S297" t="inlineStr">
        <is>
          <t xml:space="preserve"> </t>
        </is>
      </c>
      <c r="T297" t="n">
        <v>0</v>
      </c>
    </row>
    <row r="298">
      <c r="A298" t="inlineStr">
        <is>
          <t>policy_checklist6_text2_response1</t>
        </is>
      </c>
      <c r="B298" t="n">
        <v>18</v>
      </c>
      <c r="C298" t="inlineStr">
        <is>
          <t>T</t>
        </is>
      </c>
      <c r="D298" t="n">
        <v>113</v>
      </c>
      <c r="E298" t="n">
        <v>195</v>
      </c>
      <c r="F298" t="n">
        <v>140</v>
      </c>
      <c r="G298" t="n">
        <v>198</v>
      </c>
      <c r="H298" t="inlineStr">
        <is>
          <t>dejavu</t>
        </is>
      </c>
      <c r="I298" t="n">
        <v>16</v>
      </c>
      <c r="J298" t="n">
        <v>1</v>
      </c>
      <c r="K298" t="n">
        <v>0</v>
      </c>
      <c r="L298" t="n">
        <v>0</v>
      </c>
      <c r="N298" t="inlineStr">
        <is>
          <t>d0d8dd</t>
        </is>
      </c>
      <c r="O298" t="inlineStr">
        <is>
          <t>C</t>
        </is>
      </c>
      <c r="Q298" t="n">
        <v>2</v>
      </c>
      <c r="R298" t="b">
        <v>0</v>
      </c>
      <c r="S298" t="inlineStr">
        <is>
          <t xml:space="preserve"> </t>
        </is>
      </c>
      <c r="T298" t="n">
        <v>0</v>
      </c>
    </row>
    <row r="299">
      <c r="A299" t="inlineStr">
        <is>
          <t>policy_checklist6_text2_response2</t>
        </is>
      </c>
      <c r="B299" t="n">
        <v>18</v>
      </c>
      <c r="C299" t="inlineStr">
        <is>
          <t>T</t>
        </is>
      </c>
      <c r="D299" t="n">
        <v>140</v>
      </c>
      <c r="E299" t="n">
        <v>195</v>
      </c>
      <c r="F299" t="n">
        <v>169</v>
      </c>
      <c r="G299" t="n">
        <v>198</v>
      </c>
      <c r="H299" t="inlineStr">
        <is>
          <t>dejavu</t>
        </is>
      </c>
      <c r="I299" t="n">
        <v>16</v>
      </c>
      <c r="J299" t="n">
        <v>1</v>
      </c>
      <c r="K299" t="n">
        <v>0</v>
      </c>
      <c r="L299" t="n">
        <v>0</v>
      </c>
      <c r="N299" t="inlineStr">
        <is>
          <t>d0d8dd</t>
        </is>
      </c>
      <c r="O299" t="inlineStr">
        <is>
          <t>C</t>
        </is>
      </c>
      <c r="Q299" t="n">
        <v>2</v>
      </c>
      <c r="R299" t="b">
        <v>0</v>
      </c>
      <c r="S299" t="inlineStr">
        <is>
          <t xml:space="preserve"> </t>
        </is>
      </c>
      <c r="T299" t="n">
        <v>0</v>
      </c>
    </row>
    <row r="300">
      <c r="A300" t="inlineStr">
        <is>
          <t>policy_checklist6_text2_response3</t>
        </is>
      </c>
      <c r="B300" t="n">
        <v>18</v>
      </c>
      <c r="C300" t="inlineStr">
        <is>
          <t>T</t>
        </is>
      </c>
      <c r="D300" t="n">
        <v>168</v>
      </c>
      <c r="E300" t="n">
        <v>195</v>
      </c>
      <c r="F300" t="n">
        <v>194</v>
      </c>
      <c r="G300" t="n">
        <v>198</v>
      </c>
      <c r="H300" t="inlineStr">
        <is>
          <t>dejavu</t>
        </is>
      </c>
      <c r="I300" t="n">
        <v>16</v>
      </c>
      <c r="J300" t="n">
        <v>1</v>
      </c>
      <c r="K300" t="n">
        <v>0</v>
      </c>
      <c r="L300" t="n">
        <v>0</v>
      </c>
      <c r="N300" t="inlineStr">
        <is>
          <t>d0d8dd</t>
        </is>
      </c>
      <c r="O300" t="inlineStr">
        <is>
          <t>C</t>
        </is>
      </c>
      <c r="Q300" t="n">
        <v>2</v>
      </c>
      <c r="R300" t="b">
        <v>0</v>
      </c>
      <c r="S300" t="inlineStr">
        <is>
          <t xml:space="preserve"> </t>
        </is>
      </c>
      <c r="T300" t="n">
        <v>0</v>
      </c>
    </row>
    <row r="301">
      <c r="A301" t="inlineStr">
        <is>
          <t>Climate disaster risk reduction</t>
        </is>
      </c>
      <c r="B301" t="n">
        <v>19</v>
      </c>
      <c r="C301" t="inlineStr">
        <is>
          <t>T</t>
        </is>
      </c>
      <c r="D301" t="n">
        <v>14</v>
      </c>
      <c r="E301" t="n">
        <v>20</v>
      </c>
      <c r="F301" t="n">
        <v>196</v>
      </c>
      <c r="G301" t="n">
        <v>25</v>
      </c>
      <c r="H301" t="inlineStr">
        <is>
          <t>custom</t>
        </is>
      </c>
      <c r="I301" t="n">
        <v>14</v>
      </c>
      <c r="J301" t="n">
        <v>1</v>
      </c>
      <c r="K301" t="n">
        <v>0</v>
      </c>
      <c r="L301" t="n">
        <v>0</v>
      </c>
      <c r="N301" t="inlineStr">
        <is>
          <t>FFFFFF</t>
        </is>
      </c>
      <c r="O301" t="inlineStr">
        <is>
          <t>L</t>
        </is>
      </c>
      <c r="Q301" t="n">
        <v>2</v>
      </c>
      <c r="R301" t="b">
        <v>1</v>
      </c>
      <c r="S301" t="inlineStr">
        <is>
          <t xml:space="preserve"> </t>
        </is>
      </c>
      <c r="T301" t="n">
        <v>0</v>
      </c>
    </row>
    <row r="302">
      <c r="A302" t="inlineStr">
        <is>
          <t>Climate disaster risk reduction description</t>
        </is>
      </c>
      <c r="B302" t="n">
        <v>19</v>
      </c>
      <c r="C302" t="inlineStr">
        <is>
          <t>T</t>
        </is>
      </c>
      <c r="D302" t="n">
        <v>14</v>
      </c>
      <c r="E302" t="n">
        <v>33</v>
      </c>
      <c r="F302" t="n">
        <v>196</v>
      </c>
      <c r="G302" t="n">
        <v>38</v>
      </c>
      <c r="H302" t="inlineStr">
        <is>
          <t>custom</t>
        </is>
      </c>
      <c r="I302" t="n">
        <v>12</v>
      </c>
      <c r="J302" t="n">
        <v>0</v>
      </c>
      <c r="K302" t="n">
        <v>0</v>
      </c>
      <c r="L302" t="n">
        <v>0</v>
      </c>
      <c r="N302" t="inlineStr">
        <is>
          <t>FFFFFF</t>
        </is>
      </c>
      <c r="O302" t="inlineStr">
        <is>
          <t>L</t>
        </is>
      </c>
      <c r="Q302" t="n">
        <v>2</v>
      </c>
      <c r="R302" t="b">
        <v>1</v>
      </c>
      <c r="T302" t="n">
        <v>0</v>
      </c>
    </row>
    <row r="303">
      <c r="A303" t="inlineStr">
        <is>
          <t>policy_box_checklist7</t>
        </is>
      </c>
      <c r="B303" t="n">
        <v>19</v>
      </c>
      <c r="C303" t="inlineStr">
        <is>
          <t>B</t>
        </is>
      </c>
      <c r="D303" t="n">
        <v>0</v>
      </c>
      <c r="E303" t="n">
        <v>75</v>
      </c>
      <c r="F303" t="n">
        <v>210</v>
      </c>
      <c r="G303" t="n">
        <v>123</v>
      </c>
      <c r="I303" t="n">
        <v>0</v>
      </c>
      <c r="J303" t="n">
        <v>1</v>
      </c>
      <c r="K303" t="n">
        <v>0</v>
      </c>
      <c r="L303" t="n">
        <v>0</v>
      </c>
      <c r="M303" t="inlineStr">
        <is>
          <t>d0d8dd</t>
        </is>
      </c>
      <c r="N303" t="inlineStr">
        <is>
          <t>d0d8dd</t>
        </is>
      </c>
      <c r="O303" t="inlineStr">
        <is>
          <t>L</t>
        </is>
      </c>
      <c r="Q303" t="n">
        <v>1</v>
      </c>
      <c r="R303" t="b">
        <v>0</v>
      </c>
      <c r="S303" t="inlineStr">
        <is>
          <t xml:space="preserve"> </t>
        </is>
      </c>
      <c r="T303" t="n">
        <v>0</v>
      </c>
    </row>
    <row r="304">
      <c r="A304" t="inlineStr">
        <is>
          <t>policy_checklist7_title</t>
        </is>
      </c>
      <c r="B304" t="n">
        <v>19</v>
      </c>
      <c r="C304" t="inlineStr">
        <is>
          <t>T</t>
        </is>
      </c>
      <c r="D304" t="n">
        <v>14</v>
      </c>
      <c r="E304" t="n">
        <v>80</v>
      </c>
      <c r="F304" t="n">
        <v>196</v>
      </c>
      <c r="G304" t="n">
        <v>83</v>
      </c>
      <c r="H304" t="inlineStr">
        <is>
          <t>custom</t>
        </is>
      </c>
      <c r="I304" t="n">
        <v>12</v>
      </c>
      <c r="J304" t="n">
        <v>1</v>
      </c>
      <c r="K304" t="n">
        <v>0</v>
      </c>
      <c r="L304" t="n">
        <v>0</v>
      </c>
      <c r="N304" t="inlineStr">
        <is>
          <t>d0d8dd</t>
        </is>
      </c>
      <c r="O304" t="inlineStr">
        <is>
          <t>L</t>
        </is>
      </c>
      <c r="Q304" t="n">
        <v>3</v>
      </c>
      <c r="R304" t="b">
        <v>0</v>
      </c>
      <c r="S304" t="inlineStr">
        <is>
          <t xml:space="preserve"> </t>
        </is>
      </c>
      <c r="T304" t="n">
        <v>0</v>
      </c>
    </row>
    <row r="305">
      <c r="A305" t="inlineStr">
        <is>
          <t>policy_checklist_header1</t>
        </is>
      </c>
      <c r="B305" t="n">
        <v>19</v>
      </c>
      <c r="C305" t="inlineStr">
        <is>
          <t>T</t>
        </is>
      </c>
      <c r="D305" t="n">
        <v>113</v>
      </c>
      <c r="E305" t="n">
        <v>77</v>
      </c>
      <c r="F305" t="n">
        <v>140</v>
      </c>
      <c r="G305" t="n">
        <v>82</v>
      </c>
      <c r="H305" t="inlineStr">
        <is>
          <t>custom</t>
        </is>
      </c>
      <c r="I305" t="n">
        <v>10</v>
      </c>
      <c r="J305" t="n">
        <v>1</v>
      </c>
      <c r="K305" t="n">
        <v>0</v>
      </c>
      <c r="L305" t="n">
        <v>0</v>
      </c>
      <c r="N305" t="inlineStr">
        <is>
          <t>d0d8dd</t>
        </is>
      </c>
      <c r="O305" t="inlineStr">
        <is>
          <t>C</t>
        </is>
      </c>
      <c r="Q305" t="n">
        <v>3</v>
      </c>
      <c r="R305" t="b">
        <v>1</v>
      </c>
      <c r="S305" t="inlineStr">
        <is>
          <t xml:space="preserve"> </t>
        </is>
      </c>
      <c r="T305" t="n">
        <v>0</v>
      </c>
    </row>
    <row r="306">
      <c r="A306" t="inlineStr">
        <is>
          <t>policy_checklist_header2</t>
        </is>
      </c>
      <c r="B306" t="n">
        <v>19</v>
      </c>
      <c r="C306" t="inlineStr">
        <is>
          <t>T</t>
        </is>
      </c>
      <c r="D306" t="n">
        <v>140</v>
      </c>
      <c r="E306" t="n">
        <v>77</v>
      </c>
      <c r="F306" t="n">
        <v>169</v>
      </c>
      <c r="G306" t="n">
        <v>82</v>
      </c>
      <c r="H306" t="inlineStr">
        <is>
          <t>custom</t>
        </is>
      </c>
      <c r="I306" t="n">
        <v>10</v>
      </c>
      <c r="J306" t="n">
        <v>1</v>
      </c>
      <c r="K306" t="n">
        <v>0</v>
      </c>
      <c r="L306" t="n">
        <v>0</v>
      </c>
      <c r="N306" t="inlineStr">
        <is>
          <t>d0d8dd</t>
        </is>
      </c>
      <c r="O306" t="inlineStr">
        <is>
          <t>C</t>
        </is>
      </c>
      <c r="Q306" t="n">
        <v>3</v>
      </c>
      <c r="R306" t="b">
        <v>1</v>
      </c>
      <c r="S306" t="inlineStr">
        <is>
          <t xml:space="preserve"> </t>
        </is>
      </c>
      <c r="T306" t="n">
        <v>0</v>
      </c>
    </row>
    <row r="307">
      <c r="A307" t="inlineStr">
        <is>
          <t>policy_checklist_header3</t>
        </is>
      </c>
      <c r="B307" t="n">
        <v>19</v>
      </c>
      <c r="C307" t="inlineStr">
        <is>
          <t>T</t>
        </is>
      </c>
      <c r="D307" t="n">
        <v>168</v>
      </c>
      <c r="E307" t="n">
        <v>77</v>
      </c>
      <c r="F307" t="n">
        <v>194</v>
      </c>
      <c r="G307" t="n">
        <v>82</v>
      </c>
      <c r="H307" t="inlineStr">
        <is>
          <t>custom</t>
        </is>
      </c>
      <c r="I307" t="n">
        <v>10</v>
      </c>
      <c r="J307" t="n">
        <v>1</v>
      </c>
      <c r="K307" t="n">
        <v>0</v>
      </c>
      <c r="L307" t="n">
        <v>0</v>
      </c>
      <c r="N307" t="inlineStr">
        <is>
          <t>d0d8dd</t>
        </is>
      </c>
      <c r="O307" t="inlineStr">
        <is>
          <t>C</t>
        </is>
      </c>
      <c r="Q307" t="n">
        <v>3</v>
      </c>
      <c r="R307" t="b">
        <v>1</v>
      </c>
      <c r="S307" t="inlineStr">
        <is>
          <t xml:space="preserve"> </t>
        </is>
      </c>
      <c r="T307" t="n">
        <v>0</v>
      </c>
    </row>
    <row r="308">
      <c r="A308" t="inlineStr">
        <is>
          <t>table_vline1</t>
        </is>
      </c>
      <c r="B308" t="n">
        <v>19</v>
      </c>
      <c r="C308" t="inlineStr">
        <is>
          <t>L</t>
        </is>
      </c>
      <c r="D308" t="n">
        <v>114</v>
      </c>
      <c r="E308" t="n">
        <v>75</v>
      </c>
      <c r="F308" t="n">
        <v>114</v>
      </c>
      <c r="G308" t="n">
        <v>123</v>
      </c>
      <c r="I308" t="n">
        <v>0.5</v>
      </c>
      <c r="J308" t="n">
        <v>0</v>
      </c>
      <c r="K308" t="n">
        <v>0</v>
      </c>
      <c r="L308" t="n">
        <v>0</v>
      </c>
      <c r="M308" t="inlineStr">
        <is>
          <t>FFFFFF</t>
        </is>
      </c>
      <c r="N308" t="inlineStr">
        <is>
          <t>d0d8dd</t>
        </is>
      </c>
      <c r="O308" t="inlineStr">
        <is>
          <t>L</t>
        </is>
      </c>
      <c r="Q308" t="n">
        <v>4</v>
      </c>
      <c r="R308" t="b">
        <v>0</v>
      </c>
      <c r="S308" t="inlineStr">
        <is>
          <t xml:space="preserve"> </t>
        </is>
      </c>
      <c r="T308" t="n">
        <v>0</v>
      </c>
    </row>
    <row r="309">
      <c r="A309" t="inlineStr">
        <is>
          <t>table_vline2</t>
        </is>
      </c>
      <c r="B309" t="n">
        <v>19</v>
      </c>
      <c r="C309" t="inlineStr">
        <is>
          <t>L</t>
        </is>
      </c>
      <c r="D309" t="n">
        <v>141</v>
      </c>
      <c r="E309" t="n">
        <v>75</v>
      </c>
      <c r="F309" t="n">
        <v>141</v>
      </c>
      <c r="G309" t="n">
        <v>123</v>
      </c>
      <c r="I309" t="n">
        <v>0.5</v>
      </c>
      <c r="J309" t="n">
        <v>0</v>
      </c>
      <c r="K309" t="n">
        <v>0</v>
      </c>
      <c r="L309" t="n">
        <v>0</v>
      </c>
      <c r="M309" t="inlineStr">
        <is>
          <t>FFFFFF</t>
        </is>
      </c>
      <c r="N309" t="inlineStr">
        <is>
          <t>d0d8dd</t>
        </is>
      </c>
      <c r="O309" t="inlineStr">
        <is>
          <t>L</t>
        </is>
      </c>
      <c r="Q309" t="n">
        <v>4</v>
      </c>
      <c r="R309" t="b">
        <v>0</v>
      </c>
      <c r="S309" t="inlineStr">
        <is>
          <t xml:space="preserve"> </t>
        </is>
      </c>
      <c r="T309" t="n">
        <v>0</v>
      </c>
    </row>
    <row r="310">
      <c r="A310" t="inlineStr">
        <is>
          <t>table_vline3</t>
        </is>
      </c>
      <c r="B310" t="n">
        <v>19</v>
      </c>
      <c r="C310" t="inlineStr">
        <is>
          <t>L</t>
        </is>
      </c>
      <c r="D310" t="n">
        <v>168</v>
      </c>
      <c r="E310" t="n">
        <v>75</v>
      </c>
      <c r="F310" t="n">
        <v>168</v>
      </c>
      <c r="G310" t="n">
        <v>123</v>
      </c>
      <c r="I310" t="n">
        <v>0.5</v>
      </c>
      <c r="J310" t="n">
        <v>0</v>
      </c>
      <c r="K310" t="n">
        <v>0</v>
      </c>
      <c r="L310" t="n">
        <v>0</v>
      </c>
      <c r="M310" t="inlineStr">
        <is>
          <t>FFFFFF</t>
        </is>
      </c>
      <c r="N310" t="inlineStr">
        <is>
          <t>d0d8dd</t>
        </is>
      </c>
      <c r="O310" t="inlineStr">
        <is>
          <t>L</t>
        </is>
      </c>
      <c r="Q310" t="n">
        <v>4</v>
      </c>
      <c r="R310" t="b">
        <v>0</v>
      </c>
      <c r="S310" t="inlineStr">
        <is>
          <t xml:space="preserve"> </t>
        </is>
      </c>
      <c r="T310" t="n">
        <v>0</v>
      </c>
    </row>
    <row r="311">
      <c r="A311" t="inlineStr">
        <is>
          <t>table_hline_mid</t>
        </is>
      </c>
      <c r="B311" t="n">
        <v>19</v>
      </c>
      <c r="C311" t="inlineStr">
        <is>
          <t>L</t>
        </is>
      </c>
      <c r="D311" t="n">
        <v>14</v>
      </c>
      <c r="E311" t="n">
        <v>102</v>
      </c>
      <c r="F311" t="n">
        <v>196</v>
      </c>
      <c r="G311" t="n">
        <v>102</v>
      </c>
      <c r="I311" t="n">
        <v>0.5</v>
      </c>
      <c r="J311" t="n">
        <v>0</v>
      </c>
      <c r="K311" t="n">
        <v>0</v>
      </c>
      <c r="L311" t="n">
        <v>0</v>
      </c>
      <c r="M311" t="inlineStr">
        <is>
          <t>FFFFFF</t>
        </is>
      </c>
      <c r="N311" t="inlineStr">
        <is>
          <t>d0d8dd</t>
        </is>
      </c>
      <c r="O311" t="inlineStr">
        <is>
          <t>L</t>
        </is>
      </c>
      <c r="Q311" t="n">
        <v>4</v>
      </c>
      <c r="R311" t="b">
        <v>0</v>
      </c>
      <c r="S311" t="inlineStr">
        <is>
          <t xml:space="preserve"> </t>
        </is>
      </c>
      <c r="T311" t="n">
        <v>0</v>
      </c>
    </row>
    <row r="312">
      <c r="A312" t="inlineStr">
        <is>
          <t>Policy key</t>
        </is>
      </c>
      <c r="B312" t="n">
        <v>19</v>
      </c>
      <c r="C312" t="inlineStr">
        <is>
          <t>T</t>
        </is>
      </c>
      <c r="D312" t="n">
        <v>14</v>
      </c>
      <c r="E312" t="n">
        <v>125</v>
      </c>
      <c r="F312" t="n">
        <v>196</v>
      </c>
      <c r="G312" t="n">
        <v>129</v>
      </c>
      <c r="H312" t="inlineStr">
        <is>
          <t>custom</t>
        </is>
      </c>
      <c r="I312" t="n">
        <v>10</v>
      </c>
      <c r="J312" t="n">
        <v>0</v>
      </c>
      <c r="K312" t="n">
        <v>0</v>
      </c>
      <c r="L312" t="n">
        <v>0</v>
      </c>
      <c r="N312" t="inlineStr">
        <is>
          <t>FFFFFF</t>
        </is>
      </c>
      <c r="O312" t="inlineStr">
        <is>
          <t>R</t>
        </is>
      </c>
      <c r="Q312" t="n">
        <v>2</v>
      </c>
      <c r="R312" t="b">
        <v>0</v>
      </c>
      <c r="S312" t="inlineStr">
        <is>
          <t xml:space="preserve"> </t>
        </is>
      </c>
      <c r="T312" t="n">
        <v>0</v>
      </c>
    </row>
    <row r="313">
      <c r="A313" t="inlineStr">
        <is>
          <t>policy_checklist7_text1</t>
        </is>
      </c>
      <c r="B313" t="n">
        <v>19</v>
      </c>
      <c r="C313" t="inlineStr">
        <is>
          <t>T</t>
        </is>
      </c>
      <c r="D313" t="n">
        <v>14</v>
      </c>
      <c r="E313" t="n">
        <v>104</v>
      </c>
      <c r="F313" t="n">
        <v>112</v>
      </c>
      <c r="G313" t="n">
        <v>109</v>
      </c>
      <c r="H313" t="inlineStr">
        <is>
          <t>custom</t>
        </is>
      </c>
      <c r="I313" t="n">
        <v>12</v>
      </c>
      <c r="J313" t="n">
        <v>0</v>
      </c>
      <c r="K313" t="n">
        <v>0</v>
      </c>
      <c r="L313" t="n">
        <v>0</v>
      </c>
      <c r="N313" t="inlineStr">
        <is>
          <t>d0d8dd</t>
        </is>
      </c>
      <c r="O313" t="inlineStr">
        <is>
          <t>L</t>
        </is>
      </c>
      <c r="Q313" t="n">
        <v>3</v>
      </c>
      <c r="R313" t="b">
        <v>1</v>
      </c>
      <c r="S313" t="inlineStr">
        <is>
          <t xml:space="preserve"> </t>
        </is>
      </c>
      <c r="T313" t="n">
        <v>0</v>
      </c>
    </row>
    <row r="314">
      <c r="A314" t="inlineStr">
        <is>
          <t>policy_checklist7_text1_response1</t>
        </is>
      </c>
      <c r="B314" t="n">
        <v>19</v>
      </c>
      <c r="C314" t="inlineStr">
        <is>
          <t>T</t>
        </is>
      </c>
      <c r="D314" t="n">
        <v>113</v>
      </c>
      <c r="E314" t="n">
        <v>105</v>
      </c>
      <c r="F314" t="n">
        <v>140</v>
      </c>
      <c r="G314" t="n">
        <v>108</v>
      </c>
      <c r="H314" t="inlineStr">
        <is>
          <t>dejavu</t>
        </is>
      </c>
      <c r="I314" t="n">
        <v>16</v>
      </c>
      <c r="J314" t="n">
        <v>1</v>
      </c>
      <c r="K314" t="n">
        <v>0</v>
      </c>
      <c r="L314" t="n">
        <v>0</v>
      </c>
      <c r="N314" t="inlineStr">
        <is>
          <t>d0d8dd</t>
        </is>
      </c>
      <c r="O314" t="inlineStr">
        <is>
          <t>C</t>
        </is>
      </c>
      <c r="Q314" t="n">
        <v>2</v>
      </c>
      <c r="R314" t="b">
        <v>0</v>
      </c>
      <c r="S314" t="inlineStr">
        <is>
          <t xml:space="preserve"> </t>
        </is>
      </c>
      <c r="T314" t="n">
        <v>0</v>
      </c>
    </row>
    <row r="315">
      <c r="A315" t="inlineStr">
        <is>
          <t>policy_checklist7_text1_response2</t>
        </is>
      </c>
      <c r="B315" t="n">
        <v>19</v>
      </c>
      <c r="C315" t="inlineStr">
        <is>
          <t>T</t>
        </is>
      </c>
      <c r="D315" t="n">
        <v>140</v>
      </c>
      <c r="E315" t="n">
        <v>105</v>
      </c>
      <c r="F315" t="n">
        <v>169</v>
      </c>
      <c r="G315" t="n">
        <v>108</v>
      </c>
      <c r="H315" t="inlineStr">
        <is>
          <t>dejavu</t>
        </is>
      </c>
      <c r="I315" t="n">
        <v>16</v>
      </c>
      <c r="J315" t="n">
        <v>1</v>
      </c>
      <c r="K315" t="n">
        <v>0</v>
      </c>
      <c r="L315" t="n">
        <v>0</v>
      </c>
      <c r="N315" t="inlineStr">
        <is>
          <t>d0d8dd</t>
        </is>
      </c>
      <c r="O315" t="inlineStr">
        <is>
          <t>C</t>
        </is>
      </c>
      <c r="Q315" t="n">
        <v>2</v>
      </c>
      <c r="R315" t="b">
        <v>0</v>
      </c>
      <c r="S315" t="inlineStr">
        <is>
          <t xml:space="preserve"> </t>
        </is>
      </c>
      <c r="T315" t="n">
        <v>0</v>
      </c>
    </row>
    <row r="316">
      <c r="A316" t="inlineStr">
        <is>
          <t>policy_checklist7_text1_response3</t>
        </is>
      </c>
      <c r="B316" t="n">
        <v>19</v>
      </c>
      <c r="C316" t="inlineStr">
        <is>
          <t>T</t>
        </is>
      </c>
      <c r="D316" t="n">
        <v>168</v>
      </c>
      <c r="E316" t="n">
        <v>105</v>
      </c>
      <c r="F316" t="n">
        <v>194</v>
      </c>
      <c r="G316" t="n">
        <v>108</v>
      </c>
      <c r="H316" t="inlineStr">
        <is>
          <t>dejavu</t>
        </is>
      </c>
      <c r="I316" t="n">
        <v>16</v>
      </c>
      <c r="J316" t="n">
        <v>1</v>
      </c>
      <c r="K316" t="n">
        <v>0</v>
      </c>
      <c r="L316" t="n">
        <v>0</v>
      </c>
      <c r="N316" t="inlineStr">
        <is>
          <t>d0d8dd</t>
        </is>
      </c>
      <c r="O316" t="inlineStr">
        <is>
          <t>C</t>
        </is>
      </c>
      <c r="Q316" t="n">
        <v>2</v>
      </c>
      <c r="R316" t="b">
        <v>0</v>
      </c>
      <c r="S316" t="inlineStr">
        <is>
          <t xml:space="preserve"> </t>
        </is>
      </c>
      <c r="T316" t="n">
        <v>0</v>
      </c>
    </row>
    <row r="317">
      <c r="A317" t="inlineStr">
        <is>
          <t>hero_image_4</t>
        </is>
      </c>
      <c r="B317" t="n">
        <v>19</v>
      </c>
      <c r="C317" t="inlineStr">
        <is>
          <t>I</t>
        </is>
      </c>
      <c r="D317" t="n">
        <v>30</v>
      </c>
      <c r="E317" t="n">
        <v>130</v>
      </c>
      <c r="F317" t="n">
        <v>180</v>
      </c>
      <c r="G317" t="n">
        <v>280</v>
      </c>
      <c r="I317" t="n">
        <v>0</v>
      </c>
      <c r="J317" t="n">
        <v>0</v>
      </c>
      <c r="K317" t="n">
        <v>0</v>
      </c>
      <c r="L317" t="n">
        <v>0</v>
      </c>
      <c r="N317" t="inlineStr">
        <is>
          <t>FFFFFF</t>
        </is>
      </c>
      <c r="O317" t="inlineStr">
        <is>
          <t>L</t>
        </is>
      </c>
      <c r="Q317" t="n">
        <v>0</v>
      </c>
      <c r="R317" t="b">
        <v>0</v>
      </c>
      <c r="S317" t="inlineStr">
        <is>
          <t xml:space="preserve"> </t>
        </is>
      </c>
      <c r="T317" t="n">
        <v>0</v>
      </c>
    </row>
    <row r="318">
      <c r="A318" t="inlineStr">
        <is>
          <t>hero_alt_4</t>
        </is>
      </c>
      <c r="B318" t="n">
        <v>19</v>
      </c>
      <c r="C318" t="inlineStr">
        <is>
          <t>T</t>
        </is>
      </c>
      <c r="D318" t="n">
        <v>30</v>
      </c>
      <c r="E318" t="n">
        <v>130</v>
      </c>
      <c r="F318" t="n">
        <v>130</v>
      </c>
      <c r="G318" t="n">
        <v>280</v>
      </c>
      <c r="H318" t="inlineStr">
        <is>
          <t>custom</t>
        </is>
      </c>
      <c r="I318" t="n">
        <v>12</v>
      </c>
      <c r="J318" t="n">
        <v>0</v>
      </c>
      <c r="K318" t="n">
        <v>1</v>
      </c>
      <c r="L318" t="n">
        <v>0</v>
      </c>
      <c r="N318" t="inlineStr">
        <is>
          <t>FFFFFF</t>
        </is>
      </c>
      <c r="O318" t="inlineStr">
        <is>
          <t>L</t>
        </is>
      </c>
      <c r="Q318" t="n">
        <v>0</v>
      </c>
      <c r="R318" t="b">
        <v>1</v>
      </c>
      <c r="S318" t="inlineStr">
        <is>
          <t xml:space="preserve"> </t>
        </is>
      </c>
      <c r="T318" t="n">
        <v>0</v>
      </c>
    </row>
    <row r="319">
      <c r="A319" t="inlineStr">
        <is>
          <t>Image 4 credit</t>
        </is>
      </c>
      <c r="B319" t="n">
        <v>19</v>
      </c>
      <c r="C319" t="inlineStr">
        <is>
          <t>T</t>
        </is>
      </c>
      <c r="D319" t="n">
        <v>30</v>
      </c>
      <c r="E319" t="n">
        <v>280</v>
      </c>
      <c r="F319" t="n">
        <v>180</v>
      </c>
      <c r="G319" t="n">
        <v>283</v>
      </c>
      <c r="H319" t="inlineStr">
        <is>
          <t>custom</t>
        </is>
      </c>
      <c r="I319" t="n">
        <v>8</v>
      </c>
      <c r="J319" t="n">
        <v>0</v>
      </c>
      <c r="K319" t="n">
        <v>1</v>
      </c>
      <c r="L319" t="n">
        <v>0</v>
      </c>
      <c r="M319" t="inlineStr">
        <is>
          <t>584b9f</t>
        </is>
      </c>
      <c r="N319" t="inlineStr">
        <is>
          <t>FFFFFF</t>
        </is>
      </c>
      <c r="O319" t="inlineStr">
        <is>
          <t>R</t>
        </is>
      </c>
      <c r="Q319" t="n">
        <v>0</v>
      </c>
      <c r="R319" t="b">
        <v>1</v>
      </c>
      <c r="S319" t="inlineStr">
        <is>
          <t xml:space="preserve"> </t>
        </is>
      </c>
      <c r="T319" t="n">
        <v>0</v>
      </c>
    </row>
    <row r="320">
      <c r="A320" t="inlineStr">
        <is>
          <t>executive_summary</t>
        </is>
      </c>
      <c r="B320" t="n">
        <v>20</v>
      </c>
      <c r="C320" t="inlineStr">
        <is>
          <t>T</t>
        </is>
      </c>
      <c r="D320" t="n">
        <v>14</v>
      </c>
      <c r="E320" t="n">
        <v>20</v>
      </c>
      <c r="F320" t="n">
        <v>196</v>
      </c>
      <c r="G320" t="n">
        <v>25</v>
      </c>
      <c r="H320" t="inlineStr">
        <is>
          <t>custom</t>
        </is>
      </c>
      <c r="I320" t="n">
        <v>14</v>
      </c>
      <c r="J320" t="n">
        <v>1</v>
      </c>
      <c r="K320" t="n">
        <v>0</v>
      </c>
      <c r="L320" t="n">
        <v>0</v>
      </c>
      <c r="N320" t="inlineStr">
        <is>
          <t>FFFFFF</t>
        </is>
      </c>
      <c r="O320" t="inlineStr">
        <is>
          <t>L</t>
        </is>
      </c>
      <c r="Q320" t="n">
        <v>2</v>
      </c>
      <c r="R320" t="b">
        <v>1</v>
      </c>
      <c r="S320" t="inlineStr">
        <is>
          <t xml:space="preserve"> </t>
        </is>
      </c>
      <c r="T320" t="n">
        <v>0</v>
      </c>
    </row>
    <row r="321">
      <c r="A321" t="inlineStr">
        <is>
          <t>summary_policy_spatial</t>
        </is>
      </c>
      <c r="B321" t="n">
        <v>20</v>
      </c>
      <c r="C321" t="inlineStr">
        <is>
          <t>T</t>
        </is>
      </c>
      <c r="D321" t="n">
        <v>14</v>
      </c>
      <c r="E321" t="n">
        <v>33</v>
      </c>
      <c r="F321" t="n">
        <v>196</v>
      </c>
      <c r="G321" t="n">
        <v>38</v>
      </c>
      <c r="H321" t="inlineStr">
        <is>
          <t>custom</t>
        </is>
      </c>
      <c r="I321" t="n">
        <v>12</v>
      </c>
      <c r="J321" t="n">
        <v>0</v>
      </c>
      <c r="K321" t="n">
        <v>0</v>
      </c>
      <c r="L321" t="n">
        <v>0</v>
      </c>
      <c r="N321" t="inlineStr">
        <is>
          <t>FFFFFF</t>
        </is>
      </c>
      <c r="O321" t="inlineStr">
        <is>
          <t>L</t>
        </is>
      </c>
      <c r="Q321" t="n">
        <v>2</v>
      </c>
      <c r="R321" t="b">
        <v>1</v>
      </c>
      <c r="T321" t="n">
        <v>0</v>
      </c>
    </row>
    <row r="322">
      <c r="A322" t="inlineStr">
        <is>
          <t>line1</t>
        </is>
      </c>
      <c r="B322" t="n">
        <v>20</v>
      </c>
      <c r="C322" t="inlineStr">
        <is>
          <t>L</t>
        </is>
      </c>
      <c r="D322" t="n">
        <v>14</v>
      </c>
      <c r="E322" t="n">
        <v>200</v>
      </c>
      <c r="F322" t="n">
        <v>196</v>
      </c>
      <c r="G322" t="n">
        <v>200</v>
      </c>
      <c r="I322" t="n">
        <v>0</v>
      </c>
      <c r="J322" t="n">
        <v>0</v>
      </c>
      <c r="K322" t="n">
        <v>0</v>
      </c>
      <c r="L322" t="n">
        <v>0</v>
      </c>
      <c r="N322" t="inlineStr">
        <is>
          <t>FFFFFF</t>
        </is>
      </c>
      <c r="O322" t="inlineStr">
        <is>
          <t>L</t>
        </is>
      </c>
      <c r="Q322" t="n">
        <v>2</v>
      </c>
      <c r="R322" t="b">
        <v>0</v>
      </c>
      <c r="S322" t="inlineStr">
        <is>
          <t xml:space="preserve"> </t>
        </is>
      </c>
      <c r="T322" t="n">
        <v>0</v>
      </c>
    </row>
    <row r="323">
      <c r="A323" t="inlineStr">
        <is>
          <t>citation_word</t>
        </is>
      </c>
      <c r="B323" t="n">
        <v>20</v>
      </c>
      <c r="C323" t="inlineStr">
        <is>
          <t>T</t>
        </is>
      </c>
      <c r="D323" t="n">
        <v>14</v>
      </c>
      <c r="E323" t="n">
        <v>208</v>
      </c>
      <c r="F323" t="n">
        <v>196</v>
      </c>
      <c r="G323" t="n">
        <v>212</v>
      </c>
      <c r="H323" t="inlineStr">
        <is>
          <t>custom</t>
        </is>
      </c>
      <c r="I323" t="n">
        <v>12</v>
      </c>
      <c r="J323" t="n">
        <v>1</v>
      </c>
      <c r="K323" t="n">
        <v>0</v>
      </c>
      <c r="L323" t="n">
        <v>0</v>
      </c>
      <c r="N323" t="inlineStr">
        <is>
          <t>FFFFFF</t>
        </is>
      </c>
      <c r="O323" t="inlineStr">
        <is>
          <t>L</t>
        </is>
      </c>
      <c r="P323" s="1" t="n"/>
      <c r="Q323" t="n">
        <v>2</v>
      </c>
      <c r="R323" t="b">
        <v>1</v>
      </c>
      <c r="S323" t="inlineStr">
        <is>
          <t xml:space="preserve"> </t>
        </is>
      </c>
      <c r="T323" t="n">
        <v>0</v>
      </c>
    </row>
    <row r="324">
      <c r="A324" t="inlineStr">
        <is>
          <t>citation_doi</t>
        </is>
      </c>
      <c r="B324" t="n">
        <v>20</v>
      </c>
      <c r="C324" t="inlineStr">
        <is>
          <t>T</t>
        </is>
      </c>
      <c r="D324" t="n">
        <v>14</v>
      </c>
      <c r="E324" t="n">
        <v>214</v>
      </c>
      <c r="F324" t="n">
        <v>196</v>
      </c>
      <c r="G324" t="n">
        <v>218</v>
      </c>
      <c r="H324" t="inlineStr">
        <is>
          <t>custom</t>
        </is>
      </c>
      <c r="I324" t="n">
        <v>10</v>
      </c>
      <c r="J324" t="n">
        <v>0</v>
      </c>
      <c r="K324" t="n">
        <v>0</v>
      </c>
      <c r="L324" t="n">
        <v>0</v>
      </c>
      <c r="N324" t="inlineStr">
        <is>
          <t>FFFFFF</t>
        </is>
      </c>
      <c r="O324" t="inlineStr">
        <is>
          <t>L</t>
        </is>
      </c>
      <c r="P324" s="1" t="n"/>
      <c r="Q324" t="n">
        <v>2</v>
      </c>
      <c r="R324" t="b">
        <v>1</v>
      </c>
      <c r="S324" t="inlineStr">
        <is>
          <t xml:space="preserve"> </t>
        </is>
      </c>
      <c r="T324" t="n">
        <v>0</v>
      </c>
    </row>
    <row r="325" ht="15" customHeight="1">
      <c r="A325" t="inlineStr">
        <is>
          <t>cc</t>
        </is>
      </c>
      <c r="B325" t="n">
        <v>20</v>
      </c>
      <c r="C325" t="inlineStr">
        <is>
          <t>I</t>
        </is>
      </c>
      <c r="D325" t="n">
        <v>14</v>
      </c>
      <c r="E325" t="n">
        <v>248</v>
      </c>
      <c r="F325" t="n">
        <v>24</v>
      </c>
      <c r="G325" t="n">
        <v>258</v>
      </c>
      <c r="I325" t="n">
        <v>12</v>
      </c>
      <c r="J325" t="n">
        <v>0</v>
      </c>
      <c r="K325" t="n">
        <v>0</v>
      </c>
      <c r="L325" t="n">
        <v>0</v>
      </c>
      <c r="M325" t="inlineStr">
        <is>
          <t>CCCCCCC</t>
        </is>
      </c>
      <c r="N325" t="inlineStr">
        <is>
          <t>CCCCCC</t>
        </is>
      </c>
      <c r="O325" t="inlineStr">
        <is>
          <t>L</t>
        </is>
      </c>
      <c r="P325" s="5" t="inlineStr">
        <is>
          <t>configuration/assets/cc.svg</t>
        </is>
      </c>
      <c r="Q325" t="n">
        <v>2</v>
      </c>
      <c r="R325" t="b">
        <v>1</v>
      </c>
      <c r="T325" t="n">
        <v>0</v>
      </c>
    </row>
    <row r="326" ht="15" customHeight="1">
      <c r="A326" t="inlineStr">
        <is>
          <t>by</t>
        </is>
      </c>
      <c r="B326" t="n">
        <v>20</v>
      </c>
      <c r="C326" t="inlineStr">
        <is>
          <t>I</t>
        </is>
      </c>
      <c r="D326" t="n">
        <v>26</v>
      </c>
      <c r="E326" t="n">
        <v>248</v>
      </c>
      <c r="F326" t="n">
        <v>36</v>
      </c>
      <c r="G326" t="n">
        <v>258</v>
      </c>
      <c r="I326" t="n">
        <v>12</v>
      </c>
      <c r="J326" t="n">
        <v>0</v>
      </c>
      <c r="K326" t="n">
        <v>0</v>
      </c>
      <c r="L326" t="n">
        <v>0</v>
      </c>
      <c r="M326" t="inlineStr">
        <is>
          <t>CCCCCCC</t>
        </is>
      </c>
      <c r="N326" t="inlineStr">
        <is>
          <t>CCCCCC</t>
        </is>
      </c>
      <c r="O326" t="inlineStr">
        <is>
          <t>L</t>
        </is>
      </c>
      <c r="P326" s="5" t="inlineStr">
        <is>
          <t>configuration/assets/by.svg</t>
        </is>
      </c>
      <c r="Q326" t="n">
        <v>2</v>
      </c>
      <c r="R326" t="b">
        <v>1</v>
      </c>
      <c r="T326" t="n">
        <v>0</v>
      </c>
    </row>
    <row r="327" ht="15" customHeight="1">
      <c r="A327" t="inlineStr">
        <is>
          <t>nc</t>
        </is>
      </c>
      <c r="B327" t="n">
        <v>20</v>
      </c>
      <c r="C327" t="inlineStr">
        <is>
          <t>I</t>
        </is>
      </c>
      <c r="D327" t="n">
        <v>38</v>
      </c>
      <c r="E327" t="n">
        <v>248</v>
      </c>
      <c r="F327" t="n">
        <v>48</v>
      </c>
      <c r="G327" t="n">
        <v>258</v>
      </c>
      <c r="I327" t="n">
        <v>12</v>
      </c>
      <c r="J327" t="n">
        <v>0</v>
      </c>
      <c r="K327" t="n">
        <v>0</v>
      </c>
      <c r="L327" t="n">
        <v>0</v>
      </c>
      <c r="M327" t="inlineStr">
        <is>
          <t>CCCCCCC</t>
        </is>
      </c>
      <c r="N327" t="inlineStr">
        <is>
          <t>CCCCCC</t>
        </is>
      </c>
      <c r="O327" t="inlineStr">
        <is>
          <t>L</t>
        </is>
      </c>
      <c r="P327" s="5" t="inlineStr">
        <is>
          <t>configuration/assets/nc.svg</t>
        </is>
      </c>
      <c r="Q327" t="n">
        <v>2</v>
      </c>
      <c r="R327" t="b">
        <v>1</v>
      </c>
      <c r="T327" t="n">
        <v>0</v>
      </c>
    </row>
    <row r="328" ht="18" customHeight="1">
      <c r="A328" t="inlineStr">
        <is>
          <t>licence_url</t>
        </is>
      </c>
      <c r="B328" t="n">
        <v>20</v>
      </c>
      <c r="C328" t="inlineStr">
        <is>
          <t>W</t>
        </is>
      </c>
      <c r="D328" t="n">
        <v>14</v>
      </c>
      <c r="E328" t="n">
        <v>263</v>
      </c>
      <c r="F328" t="n">
        <v>196</v>
      </c>
      <c r="G328" t="n">
        <v>266</v>
      </c>
      <c r="H328" t="inlineStr">
        <is>
          <t>custom</t>
        </is>
      </c>
      <c r="I328" t="n">
        <v>10</v>
      </c>
      <c r="J328" t="n">
        <v>0</v>
      </c>
      <c r="K328" t="n">
        <v>0</v>
      </c>
      <c r="L328" t="n">
        <v>0</v>
      </c>
      <c r="N328" t="inlineStr">
        <is>
          <t>FFFFFF</t>
        </is>
      </c>
      <c r="O328" t="inlineStr">
        <is>
          <t>L</t>
        </is>
      </c>
      <c r="P328" s="5" t="inlineStr">
        <is>
          <t>This work is licenced under a Creative Commons CC BY-NC Attribution-NonCommercial 4.0 International License.</t>
        </is>
      </c>
      <c r="Q328" t="n">
        <v>2</v>
      </c>
      <c r="R328" t="b">
        <v>1</v>
      </c>
      <c r="S328" t="inlineStr">
        <is>
          <t>https://creativecommons.org/licenses/by-nc/4.0/</t>
        </is>
      </c>
      <c r="T328" t="n">
        <v>0</v>
      </c>
    </row>
    <row r="329">
      <c r="A329" t="inlineStr">
        <is>
          <t>line1</t>
        </is>
      </c>
      <c r="B329" t="n">
        <v>20</v>
      </c>
      <c r="C329" t="inlineStr">
        <is>
          <t>L</t>
        </is>
      </c>
      <c r="D329" t="n">
        <v>14</v>
      </c>
      <c r="E329" t="n">
        <v>274</v>
      </c>
      <c r="F329" t="n">
        <v>196</v>
      </c>
      <c r="G329" t="n">
        <v>274</v>
      </c>
      <c r="I329" t="n">
        <v>0</v>
      </c>
      <c r="J329" t="n">
        <v>0</v>
      </c>
      <c r="K329" t="n">
        <v>0</v>
      </c>
      <c r="L329" t="n">
        <v>0</v>
      </c>
      <c r="N329" t="inlineStr">
        <is>
          <t>FFFFFF</t>
        </is>
      </c>
      <c r="O329" t="inlineStr">
        <is>
          <t>L</t>
        </is>
      </c>
      <c r="Q329" t="n">
        <v>2</v>
      </c>
      <c r="R329" t="b">
        <v>0</v>
      </c>
      <c r="S329" t="inlineStr">
        <is>
          <t xml:space="preserve"> </t>
        </is>
      </c>
      <c r="T329" t="n">
        <v>0</v>
      </c>
    </row>
  </sheetData>
  <autoFilter ref="A1:T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208"/>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c6d3cc</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xml:space="preserve">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xml:space="preserve">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xml:space="preserve">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xml:space="preserve">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xml:space="preserve">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xml:space="preserve">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xml:space="preserve">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xml:space="preserve">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xml:space="preserve">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xml:space="preserve">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xml:space="preserve">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xml:space="preserve">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xml:space="preserve">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xml:space="preserve">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xml:space="preserve">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xml:space="preserve">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xml:space="preserve">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xml:space="preserve">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xml:space="preserve">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xml:space="preserve">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xml:space="preserve">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xml:space="preserve">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xml:space="preserve">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xml:space="preserve">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xml:space="preserve">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xml:space="preserve">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xml:space="preserve">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xml:space="preserve">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xml:space="preserve">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xml:space="preserve">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xml:space="preserve">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xml:space="preserve">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xml:space="preserve">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xml:space="preserve">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xml:space="preserve">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xml:space="preserve">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xml:space="preserve">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xml:space="preserve">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xml:space="preserve">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xml:space="preserve">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xml:space="preserve">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xml:space="preserve">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xml:space="preserve">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xml:space="preserve">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xml:space="preserve">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xml:space="preserve">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xml:space="preserve">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xml:space="preserve">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xml:space="preserve">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xml:space="preserve">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xml:space="preserve">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xml:space="preserve">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xml:space="preserve">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xml:space="preserve">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xml:space="preserve">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xml:space="preserve">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xml:space="preserve">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xml:space="preserve">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xml:space="preserve">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xml:space="preserve">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xml:space="preserve">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xml:space="preserve">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xml:space="preserve"> </t>
        </is>
      </c>
      <c r="T106" t="n">
        <v>0</v>
      </c>
    </row>
    <row r="107">
      <c r="A107" t="inlineStr">
        <is>
          <t>pct_access_400m_pt.jpg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xml:space="preserve"> </t>
        </is>
      </c>
      <c r="T107" t="n">
        <v>0</v>
      </c>
    </row>
    <row r="108">
      <c r="A108" t="inlineStr">
        <is>
          <t>pct_access_400m_pt_label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xml:space="preserve">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xml:space="preserve">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xml:space="preserve"> </t>
        </is>
      </c>
      <c r="T110" t="n">
        <v>0</v>
      </c>
    </row>
    <row r="111">
      <c r="A111" t="inlineStr">
        <is>
          <t>pct_access_400m_public_open_space_large_score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xml:space="preserve"> </t>
        </is>
      </c>
      <c r="T111" t="n">
        <v>0</v>
      </c>
    </row>
    <row r="112">
      <c r="A112" t="inlineStr">
        <is>
          <t>pct_access_400m_public_open_space_large_score_label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xml:space="preserve"> </t>
        </is>
      </c>
      <c r="T112" t="n">
        <v>0</v>
      </c>
    </row>
    <row r="113">
      <c r="A113" t="inlineStr">
        <is>
          <t>executive_summary</t>
        </is>
      </c>
      <c r="B113" t="n">
        <v>12</v>
      </c>
      <c r="C113" t="inlineStr">
        <is>
          <t>T</t>
        </is>
      </c>
      <c r="D113" t="n">
        <v>14</v>
      </c>
      <c r="E113" t="n">
        <v>20</v>
      </c>
      <c r="F113" t="n">
        <v>196</v>
      </c>
      <c r="G113" t="n">
        <v>25</v>
      </c>
      <c r="H113" t="inlineStr">
        <is>
          <t>custom</t>
        </is>
      </c>
      <c r="I113" t="n">
        <v>14</v>
      </c>
      <c r="J113" t="n">
        <v>1</v>
      </c>
      <c r="K113" t="n">
        <v>0</v>
      </c>
      <c r="L113" t="n">
        <v>0</v>
      </c>
      <c r="N113" t="inlineStr">
        <is>
          <t>FFFFFF</t>
        </is>
      </c>
      <c r="O113" t="inlineStr">
        <is>
          <t>L</t>
        </is>
      </c>
      <c r="Q113" t="n">
        <v>2</v>
      </c>
      <c r="R113" t="b">
        <v>1</v>
      </c>
      <c r="S113" t="inlineStr">
        <is>
          <t xml:space="preserve"> </t>
        </is>
      </c>
      <c r="T113" t="n">
        <v>0</v>
      </c>
    </row>
    <row r="114">
      <c r="A114" t="inlineStr">
        <is>
          <t>summary_spatial</t>
        </is>
      </c>
      <c r="B114" t="n">
        <v>12</v>
      </c>
      <c r="C114" t="inlineStr">
        <is>
          <t>T</t>
        </is>
      </c>
      <c r="D114" t="n">
        <v>14</v>
      </c>
      <c r="E114" t="n">
        <v>33</v>
      </c>
      <c r="F114" t="n">
        <v>196</v>
      </c>
      <c r="G114" t="n">
        <v>38</v>
      </c>
      <c r="H114" t="inlineStr">
        <is>
          <t>custom</t>
        </is>
      </c>
      <c r="I114" t="n">
        <v>12</v>
      </c>
      <c r="J114" t="n">
        <v>0</v>
      </c>
      <c r="K114" t="n">
        <v>0</v>
      </c>
      <c r="L114" t="n">
        <v>0</v>
      </c>
      <c r="N114" t="inlineStr">
        <is>
          <t>FFFFFF</t>
        </is>
      </c>
      <c r="O114" t="inlineStr">
        <is>
          <t>L</t>
        </is>
      </c>
      <c r="Q114" t="n">
        <v>2</v>
      </c>
      <c r="R114" t="b">
        <v>1</v>
      </c>
      <c r="T114" t="n">
        <v>0</v>
      </c>
    </row>
    <row r="115">
      <c r="A115" t="inlineStr">
        <is>
          <t>line1</t>
        </is>
      </c>
      <c r="B115" t="n">
        <v>12</v>
      </c>
      <c r="C115" t="inlineStr">
        <is>
          <t>L</t>
        </is>
      </c>
      <c r="D115" t="n">
        <v>14</v>
      </c>
      <c r="E115" t="n">
        <v>200</v>
      </c>
      <c r="F115" t="n">
        <v>196</v>
      </c>
      <c r="G115" t="n">
        <v>200</v>
      </c>
      <c r="I115" t="n">
        <v>0</v>
      </c>
      <c r="J115" t="n">
        <v>0</v>
      </c>
      <c r="K115" t="n">
        <v>0</v>
      </c>
      <c r="L115" t="n">
        <v>0</v>
      </c>
      <c r="N115" t="inlineStr">
        <is>
          <t>FFFFFF</t>
        </is>
      </c>
      <c r="O115" t="inlineStr">
        <is>
          <t>L</t>
        </is>
      </c>
      <c r="Q115" t="n">
        <v>2</v>
      </c>
      <c r="R115" t="b">
        <v>0</v>
      </c>
      <c r="S115" t="inlineStr">
        <is>
          <t xml:space="preserve"> </t>
        </is>
      </c>
      <c r="T115" t="n">
        <v>0</v>
      </c>
    </row>
    <row r="116">
      <c r="A116" t="inlineStr">
        <is>
          <t>citation_word</t>
        </is>
      </c>
      <c r="B116" t="n">
        <v>12</v>
      </c>
      <c r="C116" t="inlineStr">
        <is>
          <t>T</t>
        </is>
      </c>
      <c r="D116" t="n">
        <v>14</v>
      </c>
      <c r="E116" t="n">
        <v>208</v>
      </c>
      <c r="F116" t="n">
        <v>196</v>
      </c>
      <c r="G116" t="n">
        <v>212</v>
      </c>
      <c r="H116" t="inlineStr">
        <is>
          <t>custom</t>
        </is>
      </c>
      <c r="I116" t="n">
        <v>12</v>
      </c>
      <c r="J116" t="n">
        <v>1</v>
      </c>
      <c r="K116" t="n">
        <v>0</v>
      </c>
      <c r="L116" t="n">
        <v>0</v>
      </c>
      <c r="N116" t="inlineStr">
        <is>
          <t>FFFFFF</t>
        </is>
      </c>
      <c r="O116" t="inlineStr">
        <is>
          <t>L</t>
        </is>
      </c>
      <c r="P116" s="1" t="n"/>
      <c r="Q116" t="n">
        <v>2</v>
      </c>
      <c r="R116" t="b">
        <v>1</v>
      </c>
      <c r="S116" t="inlineStr">
        <is>
          <t xml:space="preserve"> </t>
        </is>
      </c>
      <c r="T116" t="n">
        <v>0</v>
      </c>
    </row>
    <row r="117">
      <c r="A117" t="inlineStr">
        <is>
          <t>citation_doi</t>
        </is>
      </c>
      <c r="B117" t="n">
        <v>12</v>
      </c>
      <c r="C117" t="inlineStr">
        <is>
          <t>T</t>
        </is>
      </c>
      <c r="D117" t="n">
        <v>14</v>
      </c>
      <c r="E117" t="n">
        <v>214</v>
      </c>
      <c r="F117" t="n">
        <v>196</v>
      </c>
      <c r="G117" t="n">
        <v>218</v>
      </c>
      <c r="H117" t="inlineStr">
        <is>
          <t>custom</t>
        </is>
      </c>
      <c r="I117" t="n">
        <v>10</v>
      </c>
      <c r="J117" t="n">
        <v>0</v>
      </c>
      <c r="K117" t="n">
        <v>0</v>
      </c>
      <c r="L117" t="n">
        <v>0</v>
      </c>
      <c r="N117" t="inlineStr">
        <is>
          <t>FFFFFF</t>
        </is>
      </c>
      <c r="O117" t="inlineStr">
        <is>
          <t>L</t>
        </is>
      </c>
      <c r="P117" s="1" t="n"/>
      <c r="Q117" t="n">
        <v>2</v>
      </c>
      <c r="R117" t="b">
        <v>1</v>
      </c>
      <c r="S117" t="inlineStr">
        <is>
          <t xml:space="preserve"> </t>
        </is>
      </c>
      <c r="T117" t="n">
        <v>0</v>
      </c>
    </row>
    <row r="118">
      <c r="A118" t="inlineStr">
        <is>
          <t>cc</t>
        </is>
      </c>
      <c r="B118" t="n">
        <v>12</v>
      </c>
      <c r="C118" t="inlineStr">
        <is>
          <t>I</t>
        </is>
      </c>
      <c r="D118" t="n">
        <v>14</v>
      </c>
      <c r="E118" t="n">
        <v>248</v>
      </c>
      <c r="F118" t="n">
        <v>24</v>
      </c>
      <c r="G118" t="n">
        <v>258</v>
      </c>
      <c r="I118" t="n">
        <v>12</v>
      </c>
      <c r="J118" t="n">
        <v>0</v>
      </c>
      <c r="K118" t="n">
        <v>0</v>
      </c>
      <c r="L118" t="n">
        <v>0</v>
      </c>
      <c r="M118" t="inlineStr">
        <is>
          <t>CCCCCCC</t>
        </is>
      </c>
      <c r="N118" t="inlineStr">
        <is>
          <t>CCCCCC</t>
        </is>
      </c>
      <c r="O118" t="inlineStr">
        <is>
          <t>L</t>
        </is>
      </c>
      <c r="P118" s="5" t="inlineStr">
        <is>
          <t>configuration/assets/cc.svg</t>
        </is>
      </c>
      <c r="Q118" t="n">
        <v>2</v>
      </c>
      <c r="R118" t="b">
        <v>1</v>
      </c>
      <c r="T118" t="n">
        <v>0</v>
      </c>
    </row>
    <row r="119">
      <c r="A119" t="inlineStr">
        <is>
          <t>by</t>
        </is>
      </c>
      <c r="B119" t="n">
        <v>12</v>
      </c>
      <c r="C119" t="inlineStr">
        <is>
          <t>I</t>
        </is>
      </c>
      <c r="D119" t="n">
        <v>26</v>
      </c>
      <c r="E119" t="n">
        <v>248</v>
      </c>
      <c r="F119" t="n">
        <v>36</v>
      </c>
      <c r="G119" t="n">
        <v>258</v>
      </c>
      <c r="I119" t="n">
        <v>12</v>
      </c>
      <c r="J119" t="n">
        <v>0</v>
      </c>
      <c r="K119" t="n">
        <v>0</v>
      </c>
      <c r="L119" t="n">
        <v>0</v>
      </c>
      <c r="M119" t="inlineStr">
        <is>
          <t>CCCCCCC</t>
        </is>
      </c>
      <c r="N119" t="inlineStr">
        <is>
          <t>CCCCCC</t>
        </is>
      </c>
      <c r="O119" t="inlineStr">
        <is>
          <t>L</t>
        </is>
      </c>
      <c r="P119" s="5" t="inlineStr">
        <is>
          <t>configuration/assets/by.svg</t>
        </is>
      </c>
      <c r="Q119" t="n">
        <v>2</v>
      </c>
      <c r="R119" t="b">
        <v>1</v>
      </c>
      <c r="T119" t="n">
        <v>0</v>
      </c>
    </row>
    <row r="120">
      <c r="A120" t="inlineStr">
        <is>
          <t>nc</t>
        </is>
      </c>
      <c r="B120" t="n">
        <v>12</v>
      </c>
      <c r="C120" t="inlineStr">
        <is>
          <t>I</t>
        </is>
      </c>
      <c r="D120" t="n">
        <v>38</v>
      </c>
      <c r="E120" t="n">
        <v>248</v>
      </c>
      <c r="F120" t="n">
        <v>48</v>
      </c>
      <c r="G120" t="n">
        <v>258</v>
      </c>
      <c r="I120" t="n">
        <v>12</v>
      </c>
      <c r="J120" t="n">
        <v>0</v>
      </c>
      <c r="K120" t="n">
        <v>0</v>
      </c>
      <c r="L120" t="n">
        <v>0</v>
      </c>
      <c r="M120" t="inlineStr">
        <is>
          <t>CCCCCCC</t>
        </is>
      </c>
      <c r="N120" t="inlineStr">
        <is>
          <t>CCCCCC</t>
        </is>
      </c>
      <c r="O120" t="inlineStr">
        <is>
          <t>L</t>
        </is>
      </c>
      <c r="P120" s="5" t="inlineStr">
        <is>
          <t>configuration/assets/nc.svg</t>
        </is>
      </c>
      <c r="Q120" t="n">
        <v>2</v>
      </c>
      <c r="R120" t="b">
        <v>1</v>
      </c>
      <c r="T120" t="n">
        <v>0</v>
      </c>
    </row>
    <row r="121" ht="15" customHeight="1">
      <c r="A121" t="inlineStr">
        <is>
          <t>licence_url</t>
        </is>
      </c>
      <c r="B121" t="n">
        <v>12</v>
      </c>
      <c r="C121" t="inlineStr">
        <is>
          <t>W</t>
        </is>
      </c>
      <c r="D121" t="n">
        <v>14</v>
      </c>
      <c r="E121" t="n">
        <v>263</v>
      </c>
      <c r="F121" t="n">
        <v>196</v>
      </c>
      <c r="G121" t="n">
        <v>266</v>
      </c>
      <c r="H121" t="inlineStr">
        <is>
          <t>custom</t>
        </is>
      </c>
      <c r="I121" t="n">
        <v>10</v>
      </c>
      <c r="J121" t="n">
        <v>0</v>
      </c>
      <c r="K121" t="n">
        <v>0</v>
      </c>
      <c r="L121" t="n">
        <v>0</v>
      </c>
      <c r="N121" t="inlineStr">
        <is>
          <t>FFFFFF</t>
        </is>
      </c>
      <c r="O121" t="inlineStr">
        <is>
          <t>L</t>
        </is>
      </c>
      <c r="P121" s="5" t="inlineStr">
        <is>
          <t>This work is licenced under a Creative Commons CC BY-NC Attribution-NonCommercial 4.0 International License.</t>
        </is>
      </c>
      <c r="Q121" t="n">
        <v>2</v>
      </c>
      <c r="R121" t="b">
        <v>1</v>
      </c>
      <c r="S121" t="inlineStr">
        <is>
          <t>https://creativecommons.org/licenses/by-nc/4.0/</t>
        </is>
      </c>
      <c r="T121" t="n">
        <v>0</v>
      </c>
    </row>
    <row r="122">
      <c r="A122" t="inlineStr">
        <is>
          <t>line1</t>
        </is>
      </c>
      <c r="B122" t="n">
        <v>12</v>
      </c>
      <c r="C122" t="inlineStr">
        <is>
          <t>L</t>
        </is>
      </c>
      <c r="D122" t="n">
        <v>14</v>
      </c>
      <c r="E122" t="n">
        <v>274</v>
      </c>
      <c r="F122" t="n">
        <v>196</v>
      </c>
      <c r="G122" t="n">
        <v>274</v>
      </c>
      <c r="I122" t="n">
        <v>0</v>
      </c>
      <c r="J122" t="n">
        <v>0</v>
      </c>
      <c r="K122" t="n">
        <v>0</v>
      </c>
      <c r="L122" t="n">
        <v>0</v>
      </c>
      <c r="N122" t="inlineStr">
        <is>
          <t>FFFFFF</t>
        </is>
      </c>
      <c r="O122" t="inlineStr">
        <is>
          <t>L</t>
        </is>
      </c>
      <c r="Q122" t="n">
        <v>2</v>
      </c>
      <c r="R122" t="b">
        <v>0</v>
      </c>
      <c r="S122" t="inlineStr">
        <is>
          <t xml:space="preserve"> </t>
        </is>
      </c>
      <c r="T122" t="n">
        <v>0</v>
      </c>
    </row>
    <row r="123">
      <c r="A123" t="inlineStr">
        <is>
          <t>title_city</t>
        </is>
      </c>
      <c r="B123" t="n">
        <v>90</v>
      </c>
      <c r="C123" t="inlineStr">
        <is>
          <t>T</t>
        </is>
      </c>
      <c r="D123" t="n">
        <v>0</v>
      </c>
      <c r="E123" t="n">
        <v>10</v>
      </c>
      <c r="F123" t="n">
        <v>200</v>
      </c>
      <c r="G123" t="n">
        <v>13</v>
      </c>
      <c r="H123" t="inlineStr">
        <is>
          <t>custom</t>
        </is>
      </c>
      <c r="I123" t="n">
        <v>10</v>
      </c>
      <c r="J123" t="n">
        <v>1</v>
      </c>
      <c r="K123" t="n">
        <v>0</v>
      </c>
      <c r="L123" t="n">
        <v>0</v>
      </c>
      <c r="M123" t="inlineStr">
        <is>
          <t>584b9f</t>
        </is>
      </c>
      <c r="N123" t="inlineStr">
        <is>
          <t>FFFFFF</t>
        </is>
      </c>
      <c r="O123" t="inlineStr">
        <is>
          <t>R</t>
        </is>
      </c>
      <c r="Q123" t="n">
        <v>5</v>
      </c>
      <c r="R123" t="b">
        <v>0</v>
      </c>
      <c r="S123" t="inlineStr">
        <is>
          <t xml:space="preserve"> </t>
        </is>
      </c>
      <c r="T123" t="n">
        <v>0</v>
      </c>
    </row>
    <row r="124">
      <c r="A124" t="inlineStr">
        <is>
          <t>transit_health_header</t>
        </is>
      </c>
      <c r="B124" t="n">
        <v>90</v>
      </c>
      <c r="C124" t="inlineStr">
        <is>
          <t>T</t>
        </is>
      </c>
      <c r="D124" t="n">
        <v>14</v>
      </c>
      <c r="E124" t="n">
        <v>20</v>
      </c>
      <c r="F124" t="n">
        <v>196</v>
      </c>
      <c r="G124" t="n">
        <v>25</v>
      </c>
      <c r="H124" t="inlineStr">
        <is>
          <t>custom</t>
        </is>
      </c>
      <c r="I124" t="n">
        <v>14</v>
      </c>
      <c r="J124" t="n">
        <v>1</v>
      </c>
      <c r="K124" t="n">
        <v>0</v>
      </c>
      <c r="L124" t="n">
        <v>0</v>
      </c>
      <c r="N124" t="inlineStr">
        <is>
          <t>FFFFFF</t>
        </is>
      </c>
      <c r="O124" t="inlineStr">
        <is>
          <t>L</t>
        </is>
      </c>
      <c r="Q124" t="n">
        <v>2</v>
      </c>
      <c r="R124" t="b">
        <v>0</v>
      </c>
      <c r="S124" t="inlineStr">
        <is>
          <t xml:space="preserve"> </t>
        </is>
      </c>
      <c r="T124" t="n">
        <v>0</v>
      </c>
    </row>
    <row r="125">
      <c r="A125" t="inlineStr">
        <is>
          <t>transit_health_description</t>
        </is>
      </c>
      <c r="B125" t="n">
        <v>90</v>
      </c>
      <c r="C125" t="inlineStr">
        <is>
          <t>T</t>
        </is>
      </c>
      <c r="D125" t="n">
        <v>14</v>
      </c>
      <c r="E125" t="n">
        <v>33</v>
      </c>
      <c r="F125" t="n">
        <v>196</v>
      </c>
      <c r="G125" t="n">
        <v>38</v>
      </c>
      <c r="H125" t="inlineStr">
        <is>
          <t>custom</t>
        </is>
      </c>
      <c r="I125" t="n">
        <v>12</v>
      </c>
      <c r="J125" t="n">
        <v>0</v>
      </c>
      <c r="K125" t="n">
        <v>0</v>
      </c>
      <c r="L125" t="n">
        <v>0</v>
      </c>
      <c r="N125" t="inlineStr">
        <is>
          <t>FFFFFF</t>
        </is>
      </c>
      <c r="O125" t="inlineStr">
        <is>
          <t>L</t>
        </is>
      </c>
      <c r="Q125" t="n">
        <v>2</v>
      </c>
      <c r="R125" t="b">
        <v>1</v>
      </c>
      <c r="S125" t="inlineStr">
        <is>
          <t xml:space="preserve"> </t>
        </is>
      </c>
      <c r="T125" t="n">
        <v>0</v>
      </c>
    </row>
    <row r="126">
      <c r="A126" t="inlineStr">
        <is>
          <t>pct_access_400m_pt_transit_health_services_score</t>
        </is>
      </c>
      <c r="B126" t="n">
        <v>90</v>
      </c>
      <c r="C126" t="inlineStr">
        <is>
          <t>I</t>
        </is>
      </c>
      <c r="D126" t="n">
        <v>14</v>
      </c>
      <c r="E126" t="n">
        <v>80</v>
      </c>
      <c r="F126" t="n">
        <v>196</v>
      </c>
      <c r="G126" t="n">
        <v>245</v>
      </c>
      <c r="I126" t="n">
        <v>0</v>
      </c>
      <c r="J126" t="n">
        <v>0</v>
      </c>
      <c r="K126" t="n">
        <v>0</v>
      </c>
      <c r="L126" t="n">
        <v>0</v>
      </c>
      <c r="N126" t="inlineStr">
        <is>
          <t>FFFFFF</t>
        </is>
      </c>
      <c r="O126" t="inlineStr">
        <is>
          <t>L</t>
        </is>
      </c>
      <c r="Q126" t="n">
        <v>2</v>
      </c>
      <c r="R126" t="b">
        <v>0</v>
      </c>
      <c r="S126" t="inlineStr">
        <is>
          <t xml:space="preserve"> </t>
        </is>
      </c>
      <c r="T126" t="n">
        <v>0</v>
      </c>
    </row>
    <row r="127">
      <c r="A127" t="inlineStr">
        <is>
          <t>pct_access_400m_pt_transit_health_services_score_label</t>
        </is>
      </c>
      <c r="B127" t="n">
        <v>90</v>
      </c>
      <c r="C127" t="inlineStr">
        <is>
          <t>T</t>
        </is>
      </c>
      <c r="D127" t="n">
        <v>30</v>
      </c>
      <c r="E127" t="n">
        <v>253</v>
      </c>
      <c r="F127" t="n">
        <v>180</v>
      </c>
      <c r="G127" t="n">
        <v>261</v>
      </c>
      <c r="H127" t="inlineStr">
        <is>
          <t>custom</t>
        </is>
      </c>
      <c r="I127" t="n">
        <v>16</v>
      </c>
      <c r="J127" t="n">
        <v>0</v>
      </c>
      <c r="K127" t="n">
        <v>0</v>
      </c>
      <c r="L127" t="n">
        <v>0</v>
      </c>
      <c r="M127" t="inlineStr">
        <is>
          <t>584b9f</t>
        </is>
      </c>
      <c r="N127" t="inlineStr">
        <is>
          <t>FFFFFF</t>
        </is>
      </c>
      <c r="O127" t="inlineStr">
        <is>
          <t>C</t>
        </is>
      </c>
      <c r="Q127" t="n">
        <v>2</v>
      </c>
      <c r="R127" t="b">
        <v>1</v>
      </c>
      <c r="S127" t="inlineStr">
        <is>
          <t xml:space="preserve"> </t>
        </is>
      </c>
      <c r="T127" t="n">
        <v>0</v>
      </c>
    </row>
    <row r="128">
      <c r="A128" t="inlineStr">
        <is>
          <t>title_city</t>
        </is>
      </c>
      <c r="B128" t="n">
        <v>91</v>
      </c>
      <c r="C128" t="inlineStr">
        <is>
          <t>T</t>
        </is>
      </c>
      <c r="D128" t="n">
        <v>0</v>
      </c>
      <c r="E128" t="n">
        <v>10</v>
      </c>
      <c r="F128" t="n">
        <v>200</v>
      </c>
      <c r="G128" t="n">
        <v>13</v>
      </c>
      <c r="H128" t="inlineStr">
        <is>
          <t>custom</t>
        </is>
      </c>
      <c r="I128" t="n">
        <v>10</v>
      </c>
      <c r="J128" t="n">
        <v>1</v>
      </c>
      <c r="K128" t="n">
        <v>0</v>
      </c>
      <c r="L128" t="n">
        <v>0</v>
      </c>
      <c r="M128" t="inlineStr">
        <is>
          <t>584b9f</t>
        </is>
      </c>
      <c r="N128" t="inlineStr">
        <is>
          <t>FFFFFF</t>
        </is>
      </c>
      <c r="O128" t="inlineStr">
        <is>
          <t>R</t>
        </is>
      </c>
      <c r="Q128" t="n">
        <v>5</v>
      </c>
      <c r="R128" t="b">
        <v>0</v>
      </c>
      <c r="S128" t="inlineStr">
        <is>
          <t xml:space="preserve"> </t>
        </is>
      </c>
      <c r="T128" t="n">
        <v>0</v>
      </c>
    </row>
    <row r="129">
      <c r="A129" t="inlineStr">
        <is>
          <t>safe_transport_header</t>
        </is>
      </c>
      <c r="B129" t="n">
        <v>91</v>
      </c>
      <c r="C129" t="inlineStr">
        <is>
          <t>T</t>
        </is>
      </c>
      <c r="D129" t="n">
        <v>14</v>
      </c>
      <c r="E129" t="n">
        <v>20</v>
      </c>
      <c r="F129" t="n">
        <v>196</v>
      </c>
      <c r="G129" t="n">
        <v>25</v>
      </c>
      <c r="H129" t="inlineStr">
        <is>
          <t>custom</t>
        </is>
      </c>
      <c r="I129" t="n">
        <v>14</v>
      </c>
      <c r="J129" t="n">
        <v>1</v>
      </c>
      <c r="K129" t="n">
        <v>0</v>
      </c>
      <c r="L129" t="n">
        <v>0</v>
      </c>
      <c r="N129" t="inlineStr">
        <is>
          <t>FFFFFF</t>
        </is>
      </c>
      <c r="O129" t="inlineStr">
        <is>
          <t>L</t>
        </is>
      </c>
      <c r="Q129" t="n">
        <v>2</v>
      </c>
      <c r="R129" t="b">
        <v>0</v>
      </c>
      <c r="S129" t="inlineStr">
        <is>
          <t xml:space="preserve"> </t>
        </is>
      </c>
      <c r="T129" t="n">
        <v>0</v>
      </c>
    </row>
    <row r="130">
      <c r="A130" t="inlineStr">
        <is>
          <t>safe_transport_description</t>
        </is>
      </c>
      <c r="B130" t="n">
        <v>91</v>
      </c>
      <c r="C130" t="inlineStr">
        <is>
          <t>T</t>
        </is>
      </c>
      <c r="D130" t="n">
        <v>14</v>
      </c>
      <c r="E130" t="n">
        <v>33</v>
      </c>
      <c r="F130" t="n">
        <v>196</v>
      </c>
      <c r="G130" t="n">
        <v>38</v>
      </c>
      <c r="H130" t="inlineStr">
        <is>
          <t>custom</t>
        </is>
      </c>
      <c r="I130" t="n">
        <v>12</v>
      </c>
      <c r="J130" t="n">
        <v>0</v>
      </c>
      <c r="K130" t="n">
        <v>0</v>
      </c>
      <c r="L130" t="n">
        <v>0</v>
      </c>
      <c r="N130" t="inlineStr">
        <is>
          <t>FFFFFF</t>
        </is>
      </c>
      <c r="O130" t="inlineStr">
        <is>
          <t>L</t>
        </is>
      </c>
      <c r="Q130" t="n">
        <v>2</v>
      </c>
      <c r="R130" t="b">
        <v>1</v>
      </c>
      <c r="S130" t="inlineStr">
        <is>
          <t xml:space="preserve"> </t>
        </is>
      </c>
      <c r="T130" t="n">
        <v>0</v>
      </c>
    </row>
    <row r="131">
      <c r="A131" t="inlineStr">
        <is>
          <t>pct_access_400m_pt_safe_freq_20_score</t>
        </is>
      </c>
      <c r="B131" t="n">
        <v>91</v>
      </c>
      <c r="C131" t="inlineStr">
        <is>
          <t>I</t>
        </is>
      </c>
      <c r="D131" t="n">
        <v>14</v>
      </c>
      <c r="E131" t="n">
        <v>80</v>
      </c>
      <c r="F131" t="n">
        <v>196</v>
      </c>
      <c r="G131" t="n">
        <v>245</v>
      </c>
      <c r="I131" t="n">
        <v>0</v>
      </c>
      <c r="J131" t="n">
        <v>0</v>
      </c>
      <c r="K131" t="n">
        <v>0</v>
      </c>
      <c r="L131" t="n">
        <v>0</v>
      </c>
      <c r="N131" t="inlineStr">
        <is>
          <t>FFFFFF</t>
        </is>
      </c>
      <c r="O131" t="inlineStr">
        <is>
          <t>L</t>
        </is>
      </c>
      <c r="Q131" t="n">
        <v>2</v>
      </c>
      <c r="R131" t="b">
        <v>0</v>
      </c>
      <c r="S131" t="inlineStr">
        <is>
          <t xml:space="preserve"> </t>
        </is>
      </c>
      <c r="T131" t="n">
        <v>0</v>
      </c>
    </row>
    <row r="132">
      <c r="A132" t="inlineStr">
        <is>
          <t>pct_access_400m_pt_safe_freq_20_score_label</t>
        </is>
      </c>
      <c r="B132" t="n">
        <v>91</v>
      </c>
      <c r="C132" t="inlineStr">
        <is>
          <t>T</t>
        </is>
      </c>
      <c r="D132" t="n">
        <v>30</v>
      </c>
      <c r="E132" t="n">
        <v>253</v>
      </c>
      <c r="F132" t="n">
        <v>180</v>
      </c>
      <c r="G132" t="n">
        <v>261</v>
      </c>
      <c r="H132" t="inlineStr">
        <is>
          <t>custom</t>
        </is>
      </c>
      <c r="I132" t="n">
        <v>16</v>
      </c>
      <c r="J132" t="n">
        <v>0</v>
      </c>
      <c r="K132" t="n">
        <v>0</v>
      </c>
      <c r="L132" t="n">
        <v>0</v>
      </c>
      <c r="M132" t="inlineStr">
        <is>
          <t>584b9f</t>
        </is>
      </c>
      <c r="N132" t="inlineStr">
        <is>
          <t>FFFFFF</t>
        </is>
      </c>
      <c r="O132" t="inlineStr">
        <is>
          <t>C</t>
        </is>
      </c>
      <c r="Q132" t="n">
        <v>2</v>
      </c>
      <c r="R132" t="b">
        <v>1</v>
      </c>
      <c r="S132" t="inlineStr">
        <is>
          <t xml:space="preserve"> </t>
        </is>
      </c>
      <c r="T132" t="n">
        <v>0</v>
      </c>
    </row>
    <row r="133">
      <c r="A133" t="inlineStr">
        <is>
          <t>title_city</t>
        </is>
      </c>
      <c r="B133" t="n">
        <v>60</v>
      </c>
      <c r="C133" t="inlineStr">
        <is>
          <t>T</t>
        </is>
      </c>
      <c r="D133" t="n">
        <v>0</v>
      </c>
      <c r="E133" t="n">
        <v>10</v>
      </c>
      <c r="F133" t="n">
        <v>200</v>
      </c>
      <c r="G133" t="n">
        <v>13</v>
      </c>
      <c r="H133" t="inlineStr">
        <is>
          <t>custom</t>
        </is>
      </c>
      <c r="I133" t="n">
        <v>10</v>
      </c>
      <c r="J133" t="n">
        <v>1</v>
      </c>
      <c r="K133" t="n">
        <v>0</v>
      </c>
      <c r="L133" t="n">
        <v>0</v>
      </c>
      <c r="M133" t="inlineStr">
        <is>
          <t>584b9f</t>
        </is>
      </c>
      <c r="N133" t="inlineStr">
        <is>
          <t>FFFFFF</t>
        </is>
      </c>
      <c r="O133" t="inlineStr">
        <is>
          <t>R</t>
        </is>
      </c>
      <c r="Q133" t="n">
        <v>5</v>
      </c>
      <c r="R133" t="b">
        <v>0</v>
      </c>
      <c r="S133" t="inlineStr">
        <is>
          <t xml:space="preserve"> </t>
        </is>
      </c>
      <c r="T133" t="n">
        <v>0</v>
      </c>
    </row>
    <row r="134">
      <c r="A134" t="inlineStr">
        <is>
          <t>indicator_header</t>
        </is>
      </c>
      <c r="B134" t="n">
        <v>60</v>
      </c>
      <c r="C134" t="inlineStr">
        <is>
          <t>T</t>
        </is>
      </c>
      <c r="D134" t="n">
        <v>14</v>
      </c>
      <c r="E134" t="n">
        <v>20</v>
      </c>
      <c r="F134" t="n">
        <v>196</v>
      </c>
      <c r="G134" t="n">
        <v>25</v>
      </c>
      <c r="H134" t="inlineStr">
        <is>
          <t>custom</t>
        </is>
      </c>
      <c r="I134" t="n">
        <v>14</v>
      </c>
      <c r="J134" t="n">
        <v>1</v>
      </c>
      <c r="K134" t="n">
        <v>0</v>
      </c>
      <c r="L134" t="n">
        <v>0</v>
      </c>
      <c r="N134" t="inlineStr">
        <is>
          <t>FFFFFF</t>
        </is>
      </c>
      <c r="O134" t="inlineStr">
        <is>
          <t>L</t>
        </is>
      </c>
      <c r="Q134" t="n">
        <v>2</v>
      </c>
      <c r="R134" t="b">
        <v>0</v>
      </c>
      <c r="S134" t="inlineStr">
        <is>
          <t xml:space="preserve"> </t>
        </is>
      </c>
      <c r="T134" t="n">
        <v>0</v>
      </c>
    </row>
    <row r="135">
      <c r="A135" t="inlineStr">
        <is>
          <t>indicator_description</t>
        </is>
      </c>
      <c r="B135" t="n">
        <v>60</v>
      </c>
      <c r="C135" t="inlineStr">
        <is>
          <t>T</t>
        </is>
      </c>
      <c r="D135" t="n">
        <v>14</v>
      </c>
      <c r="E135" t="n">
        <v>33</v>
      </c>
      <c r="F135" t="n">
        <v>196</v>
      </c>
      <c r="G135" t="n">
        <v>38</v>
      </c>
      <c r="H135" t="inlineStr">
        <is>
          <t>custom</t>
        </is>
      </c>
      <c r="I135" t="n">
        <v>12</v>
      </c>
      <c r="J135" t="n">
        <v>0</v>
      </c>
      <c r="K135" t="n">
        <v>0</v>
      </c>
      <c r="L135" t="n">
        <v>0</v>
      </c>
      <c r="N135" t="inlineStr">
        <is>
          <t>FFFFFF</t>
        </is>
      </c>
      <c r="O135" t="inlineStr">
        <is>
          <t>L</t>
        </is>
      </c>
      <c r="Q135" t="n">
        <v>2</v>
      </c>
      <c r="R135" t="b">
        <v>1</v>
      </c>
      <c r="S135" t="inlineStr">
        <is>
          <t xml:space="preserve"> </t>
        </is>
      </c>
      <c r="T135" t="n">
        <v>0</v>
      </c>
    </row>
    <row r="136">
      <c r="A136" t="inlineStr">
        <is>
          <t>indicator_map</t>
        </is>
      </c>
      <c r="B136" t="n">
        <v>60</v>
      </c>
      <c r="C136" t="inlineStr">
        <is>
          <t>I</t>
        </is>
      </c>
      <c r="D136" t="n">
        <v>14</v>
      </c>
      <c r="E136" t="n">
        <v>80</v>
      </c>
      <c r="F136" t="n">
        <v>196</v>
      </c>
      <c r="G136" t="n">
        <v>245</v>
      </c>
      <c r="I136" t="n">
        <v>0</v>
      </c>
      <c r="J136" t="n">
        <v>0</v>
      </c>
      <c r="K136" t="n">
        <v>0</v>
      </c>
      <c r="L136" t="n">
        <v>0</v>
      </c>
      <c r="N136" t="inlineStr">
        <is>
          <t>FFFFFF</t>
        </is>
      </c>
      <c r="O136" t="inlineStr">
        <is>
          <t>L</t>
        </is>
      </c>
      <c r="Q136" t="n">
        <v>2</v>
      </c>
      <c r="R136" t="b">
        <v>0</v>
      </c>
      <c r="S136" t="inlineStr">
        <is>
          <t xml:space="preserve"> </t>
        </is>
      </c>
      <c r="T136" t="n">
        <v>0</v>
      </c>
    </row>
    <row r="137">
      <c r="A137" t="inlineStr">
        <is>
          <t>indicator_label</t>
        </is>
      </c>
      <c r="B137" t="n">
        <v>60</v>
      </c>
      <c r="C137" t="inlineStr">
        <is>
          <t>T</t>
        </is>
      </c>
      <c r="D137" t="n">
        <v>30</v>
      </c>
      <c r="E137" t="n">
        <v>253</v>
      </c>
      <c r="F137" t="n">
        <v>180</v>
      </c>
      <c r="G137" t="n">
        <v>261</v>
      </c>
      <c r="H137" t="inlineStr">
        <is>
          <t>custom</t>
        </is>
      </c>
      <c r="I137" t="n">
        <v>16</v>
      </c>
      <c r="J137" t="n">
        <v>0</v>
      </c>
      <c r="K137" t="n">
        <v>0</v>
      </c>
      <c r="L137" t="n">
        <v>0</v>
      </c>
      <c r="M137" t="inlineStr">
        <is>
          <t>584b9f</t>
        </is>
      </c>
      <c r="N137" t="inlineStr">
        <is>
          <t>FFFFFF</t>
        </is>
      </c>
      <c r="O137" t="inlineStr">
        <is>
          <t>C</t>
        </is>
      </c>
      <c r="Q137" t="n">
        <v>2</v>
      </c>
      <c r="R137" t="b">
        <v>1</v>
      </c>
      <c r="S137" t="inlineStr">
        <is>
          <t xml:space="preserve"> </t>
        </is>
      </c>
      <c r="T137" t="n">
        <v>0</v>
      </c>
    </row>
    <row r="138">
      <c r="A138" t="inlineStr">
        <is>
          <t>title_city</t>
        </is>
      </c>
      <c r="B138" t="n">
        <v>61</v>
      </c>
      <c r="C138" t="inlineStr">
        <is>
          <t>T</t>
        </is>
      </c>
      <c r="D138" t="n">
        <v>0</v>
      </c>
      <c r="E138" t="n">
        <v>10</v>
      </c>
      <c r="F138" t="n">
        <v>200</v>
      </c>
      <c r="G138" t="n">
        <v>13</v>
      </c>
      <c r="H138" t="inlineStr">
        <is>
          <t>custom</t>
        </is>
      </c>
      <c r="I138" t="n">
        <v>10</v>
      </c>
      <c r="J138" t="n">
        <v>1</v>
      </c>
      <c r="K138" t="n">
        <v>0</v>
      </c>
      <c r="L138" t="n">
        <v>0</v>
      </c>
      <c r="M138" t="inlineStr">
        <is>
          <t>584b9f</t>
        </is>
      </c>
      <c r="N138" t="inlineStr">
        <is>
          <t>FFFFFF</t>
        </is>
      </c>
      <c r="O138" t="inlineStr">
        <is>
          <t>R</t>
        </is>
      </c>
      <c r="Q138" t="n">
        <v>5</v>
      </c>
      <c r="R138" t="b">
        <v>0</v>
      </c>
      <c r="S138" t="inlineStr">
        <is>
          <t xml:space="preserve"> </t>
        </is>
      </c>
      <c r="T138" t="n">
        <v>0</v>
      </c>
    </row>
    <row r="139">
      <c r="A139" t="inlineStr">
        <is>
          <t>indicator_header</t>
        </is>
      </c>
      <c r="B139" t="n">
        <v>61</v>
      </c>
      <c r="C139" t="inlineStr">
        <is>
          <t>T</t>
        </is>
      </c>
      <c r="D139" t="n">
        <v>14</v>
      </c>
      <c r="E139" t="n">
        <v>20</v>
      </c>
      <c r="F139" t="n">
        <v>196</v>
      </c>
      <c r="G139" t="n">
        <v>25</v>
      </c>
      <c r="H139" t="inlineStr">
        <is>
          <t>custom</t>
        </is>
      </c>
      <c r="I139" t="n">
        <v>14</v>
      </c>
      <c r="J139" t="n">
        <v>1</v>
      </c>
      <c r="K139" t="n">
        <v>0</v>
      </c>
      <c r="L139" t="n">
        <v>0</v>
      </c>
      <c r="N139" t="inlineStr">
        <is>
          <t>FFFFFF</t>
        </is>
      </c>
      <c r="O139" t="inlineStr">
        <is>
          <t>L</t>
        </is>
      </c>
      <c r="Q139" t="n">
        <v>2</v>
      </c>
      <c r="R139" t="b">
        <v>0</v>
      </c>
      <c r="S139" t="inlineStr">
        <is>
          <t xml:space="preserve"> </t>
        </is>
      </c>
      <c r="T139" t="n">
        <v>0</v>
      </c>
    </row>
    <row r="140">
      <c r="A140" t="inlineStr">
        <is>
          <t>indicator_description</t>
        </is>
      </c>
      <c r="B140" t="n">
        <v>61</v>
      </c>
      <c r="C140" t="inlineStr">
        <is>
          <t>T</t>
        </is>
      </c>
      <c r="D140" t="n">
        <v>14</v>
      </c>
      <c r="E140" t="n">
        <v>33</v>
      </c>
      <c r="F140" t="n">
        <v>196</v>
      </c>
      <c r="G140" t="n">
        <v>38</v>
      </c>
      <c r="H140" t="inlineStr">
        <is>
          <t>custom</t>
        </is>
      </c>
      <c r="I140" t="n">
        <v>12</v>
      </c>
      <c r="J140" t="n">
        <v>0</v>
      </c>
      <c r="K140" t="n">
        <v>0</v>
      </c>
      <c r="L140" t="n">
        <v>0</v>
      </c>
      <c r="N140" t="inlineStr">
        <is>
          <t>FFFFFF</t>
        </is>
      </c>
      <c r="O140" t="inlineStr">
        <is>
          <t>L</t>
        </is>
      </c>
      <c r="Q140" t="n">
        <v>2</v>
      </c>
      <c r="R140" t="b">
        <v>1</v>
      </c>
      <c r="S140" t="inlineStr">
        <is>
          <t xml:space="preserve"> </t>
        </is>
      </c>
      <c r="T140" t="n">
        <v>0</v>
      </c>
    </row>
    <row r="141">
      <c r="A141" t="inlineStr">
        <is>
          <t>indicator_map</t>
        </is>
      </c>
      <c r="B141" t="n">
        <v>61</v>
      </c>
      <c r="C141" t="inlineStr">
        <is>
          <t>I</t>
        </is>
      </c>
      <c r="D141" t="n">
        <v>14</v>
      </c>
      <c r="E141" t="n">
        <v>80</v>
      </c>
      <c r="F141" t="n">
        <v>196</v>
      </c>
      <c r="G141" t="n">
        <v>245</v>
      </c>
      <c r="I141" t="n">
        <v>0</v>
      </c>
      <c r="J141" t="n">
        <v>0</v>
      </c>
      <c r="K141" t="n">
        <v>0</v>
      </c>
      <c r="L141" t="n">
        <v>0</v>
      </c>
      <c r="N141" t="inlineStr">
        <is>
          <t>FFFFFF</t>
        </is>
      </c>
      <c r="O141" t="inlineStr">
        <is>
          <t>L</t>
        </is>
      </c>
      <c r="Q141" t="n">
        <v>2</v>
      </c>
      <c r="R141" t="b">
        <v>0</v>
      </c>
      <c r="S141" t="inlineStr">
        <is>
          <t xml:space="preserve"> </t>
        </is>
      </c>
      <c r="T141" t="n">
        <v>0</v>
      </c>
    </row>
    <row r="142">
      <c r="A142" t="inlineStr">
        <is>
          <t>indicator_label</t>
        </is>
      </c>
      <c r="B142" t="n">
        <v>61</v>
      </c>
      <c r="C142" t="inlineStr">
        <is>
          <t>T</t>
        </is>
      </c>
      <c r="D142" t="n">
        <v>30</v>
      </c>
      <c r="E142" t="n">
        <v>253</v>
      </c>
      <c r="F142" t="n">
        <v>180</v>
      </c>
      <c r="G142" t="n">
        <v>261</v>
      </c>
      <c r="H142" t="inlineStr">
        <is>
          <t>custom</t>
        </is>
      </c>
      <c r="I142" t="n">
        <v>16</v>
      </c>
      <c r="J142" t="n">
        <v>0</v>
      </c>
      <c r="K142" t="n">
        <v>0</v>
      </c>
      <c r="L142" t="n">
        <v>0</v>
      </c>
      <c r="M142" t="inlineStr">
        <is>
          <t>584b9f</t>
        </is>
      </c>
      <c r="N142" t="inlineStr">
        <is>
          <t>FFFFFF</t>
        </is>
      </c>
      <c r="O142" t="inlineStr">
        <is>
          <t>C</t>
        </is>
      </c>
      <c r="Q142" t="n">
        <v>2</v>
      </c>
      <c r="R142" t="b">
        <v>1</v>
      </c>
      <c r="S142" t="inlineStr">
        <is>
          <t xml:space="preserve"> </t>
        </is>
      </c>
      <c r="T142" t="n">
        <v>0</v>
      </c>
    </row>
    <row r="143">
      <c r="A143" t="inlineStr">
        <is>
          <t>title_city</t>
        </is>
      </c>
      <c r="B143" t="n">
        <v>62</v>
      </c>
      <c r="C143" t="inlineStr">
        <is>
          <t>T</t>
        </is>
      </c>
      <c r="D143" t="n">
        <v>0</v>
      </c>
      <c r="E143" t="n">
        <v>10</v>
      </c>
      <c r="F143" t="n">
        <v>200</v>
      </c>
      <c r="G143" t="n">
        <v>13</v>
      </c>
      <c r="H143" t="inlineStr">
        <is>
          <t>custom</t>
        </is>
      </c>
      <c r="I143" t="n">
        <v>10</v>
      </c>
      <c r="J143" t="n">
        <v>1</v>
      </c>
      <c r="K143" t="n">
        <v>0</v>
      </c>
      <c r="L143" t="n">
        <v>0</v>
      </c>
      <c r="M143" t="inlineStr">
        <is>
          <t>584b9f</t>
        </is>
      </c>
      <c r="N143" t="inlineStr">
        <is>
          <t>FFFFFF</t>
        </is>
      </c>
      <c r="O143" t="inlineStr">
        <is>
          <t>R</t>
        </is>
      </c>
      <c r="Q143" t="n">
        <v>5</v>
      </c>
      <c r="R143" t="b">
        <v>0</v>
      </c>
      <c r="S143" t="inlineStr">
        <is>
          <t xml:space="preserve"> </t>
        </is>
      </c>
      <c r="T143" t="n">
        <v>0</v>
      </c>
    </row>
    <row r="144">
      <c r="A144" t="inlineStr">
        <is>
          <t>indicator_header</t>
        </is>
      </c>
      <c r="B144" t="n">
        <v>62</v>
      </c>
      <c r="C144" t="inlineStr">
        <is>
          <t>T</t>
        </is>
      </c>
      <c r="D144" t="n">
        <v>14</v>
      </c>
      <c r="E144" t="n">
        <v>20</v>
      </c>
      <c r="F144" t="n">
        <v>196</v>
      </c>
      <c r="G144" t="n">
        <v>25</v>
      </c>
      <c r="H144" t="inlineStr">
        <is>
          <t>custom</t>
        </is>
      </c>
      <c r="I144" t="n">
        <v>14</v>
      </c>
      <c r="J144" t="n">
        <v>1</v>
      </c>
      <c r="K144" t="n">
        <v>0</v>
      </c>
      <c r="L144" t="n">
        <v>0</v>
      </c>
      <c r="N144" t="inlineStr">
        <is>
          <t>FFFFFF</t>
        </is>
      </c>
      <c r="O144" t="inlineStr">
        <is>
          <t>L</t>
        </is>
      </c>
      <c r="Q144" t="n">
        <v>2</v>
      </c>
      <c r="R144" t="b">
        <v>0</v>
      </c>
      <c r="S144" t="inlineStr">
        <is>
          <t xml:space="preserve"> </t>
        </is>
      </c>
      <c r="T144" t="n">
        <v>0</v>
      </c>
    </row>
    <row r="145">
      <c r="A145" t="inlineStr">
        <is>
          <t>indicator_description</t>
        </is>
      </c>
      <c r="B145" t="n">
        <v>62</v>
      </c>
      <c r="C145" t="inlineStr">
        <is>
          <t>T</t>
        </is>
      </c>
      <c r="D145" t="n">
        <v>14</v>
      </c>
      <c r="E145" t="n">
        <v>33</v>
      </c>
      <c r="F145" t="n">
        <v>196</v>
      </c>
      <c r="G145" t="n">
        <v>38</v>
      </c>
      <c r="H145" t="inlineStr">
        <is>
          <t>custom</t>
        </is>
      </c>
      <c r="I145" t="n">
        <v>12</v>
      </c>
      <c r="J145" t="n">
        <v>0</v>
      </c>
      <c r="K145" t="n">
        <v>0</v>
      </c>
      <c r="L145" t="n">
        <v>0</v>
      </c>
      <c r="N145" t="inlineStr">
        <is>
          <t>FFFFFF</t>
        </is>
      </c>
      <c r="O145" t="inlineStr">
        <is>
          <t>L</t>
        </is>
      </c>
      <c r="Q145" t="n">
        <v>2</v>
      </c>
      <c r="R145" t="b">
        <v>1</v>
      </c>
      <c r="S145" t="inlineStr">
        <is>
          <t xml:space="preserve"> </t>
        </is>
      </c>
      <c r="T145" t="n">
        <v>0</v>
      </c>
    </row>
    <row r="146">
      <c r="A146" t="inlineStr">
        <is>
          <t>indicator_map</t>
        </is>
      </c>
      <c r="B146" t="n">
        <v>62</v>
      </c>
      <c r="C146" t="inlineStr">
        <is>
          <t>I</t>
        </is>
      </c>
      <c r="D146" t="n">
        <v>14</v>
      </c>
      <c r="E146" t="n">
        <v>80</v>
      </c>
      <c r="F146" t="n">
        <v>196</v>
      </c>
      <c r="G146" t="n">
        <v>245</v>
      </c>
      <c r="I146" t="n">
        <v>0</v>
      </c>
      <c r="J146" t="n">
        <v>0</v>
      </c>
      <c r="K146" t="n">
        <v>0</v>
      </c>
      <c r="L146" t="n">
        <v>0</v>
      </c>
      <c r="N146" t="inlineStr">
        <is>
          <t>FFFFFF</t>
        </is>
      </c>
      <c r="O146" t="inlineStr">
        <is>
          <t>L</t>
        </is>
      </c>
      <c r="Q146" t="n">
        <v>2</v>
      </c>
      <c r="R146" t="b">
        <v>0</v>
      </c>
      <c r="S146" t="inlineStr">
        <is>
          <t xml:space="preserve"> </t>
        </is>
      </c>
      <c r="T146" t="n">
        <v>0</v>
      </c>
    </row>
    <row r="147">
      <c r="A147" t="inlineStr">
        <is>
          <t>indicator_label</t>
        </is>
      </c>
      <c r="B147" t="n">
        <v>62</v>
      </c>
      <c r="C147" t="inlineStr">
        <is>
          <t>T</t>
        </is>
      </c>
      <c r="D147" t="n">
        <v>30</v>
      </c>
      <c r="E147" t="n">
        <v>253</v>
      </c>
      <c r="F147" t="n">
        <v>180</v>
      </c>
      <c r="G147" t="n">
        <v>261</v>
      </c>
      <c r="H147" t="inlineStr">
        <is>
          <t>custom</t>
        </is>
      </c>
      <c r="I147" t="n">
        <v>16</v>
      </c>
      <c r="J147" t="n">
        <v>0</v>
      </c>
      <c r="K147" t="n">
        <v>0</v>
      </c>
      <c r="L147" t="n">
        <v>0</v>
      </c>
      <c r="M147" t="inlineStr">
        <is>
          <t>584b9f</t>
        </is>
      </c>
      <c r="N147" t="inlineStr">
        <is>
          <t>FFFFFF</t>
        </is>
      </c>
      <c r="O147" t="inlineStr">
        <is>
          <t>C</t>
        </is>
      </c>
      <c r="Q147" t="n">
        <v>2</v>
      </c>
      <c r="R147" t="b">
        <v>1</v>
      </c>
      <c r="S147" t="inlineStr">
        <is>
          <t xml:space="preserve"> </t>
        </is>
      </c>
      <c r="T147" t="n">
        <v>0</v>
      </c>
    </row>
    <row r="148">
      <c r="A148" t="inlineStr">
        <is>
          <t>title_city</t>
        </is>
      </c>
      <c r="B148" t="n">
        <v>64</v>
      </c>
      <c r="C148" t="inlineStr">
        <is>
          <t>T</t>
        </is>
      </c>
      <c r="D148" t="n">
        <v>0</v>
      </c>
      <c r="E148" t="n">
        <v>10</v>
      </c>
      <c r="F148" t="n">
        <v>200</v>
      </c>
      <c r="G148" t="n">
        <v>13</v>
      </c>
      <c r="H148" t="inlineStr">
        <is>
          <t>custom</t>
        </is>
      </c>
      <c r="I148" t="n">
        <v>10</v>
      </c>
      <c r="J148" t="n">
        <v>1</v>
      </c>
      <c r="K148" t="n">
        <v>0</v>
      </c>
      <c r="L148" t="n">
        <v>0</v>
      </c>
      <c r="M148" t="inlineStr">
        <is>
          <t>584b9f</t>
        </is>
      </c>
      <c r="N148" t="inlineStr">
        <is>
          <t>FFFFFF</t>
        </is>
      </c>
      <c r="O148" t="inlineStr">
        <is>
          <t>R</t>
        </is>
      </c>
      <c r="Q148" t="n">
        <v>5</v>
      </c>
      <c r="R148" t="b">
        <v>0</v>
      </c>
      <c r="S148" t="inlineStr">
        <is>
          <t xml:space="preserve"> </t>
        </is>
      </c>
      <c r="T148" t="n">
        <v>0</v>
      </c>
    </row>
    <row r="149">
      <c r="A149" t="inlineStr">
        <is>
          <t>indicator_header</t>
        </is>
      </c>
      <c r="B149" t="n">
        <v>64</v>
      </c>
      <c r="C149" t="inlineStr">
        <is>
          <t>T</t>
        </is>
      </c>
      <c r="D149" t="n">
        <v>14</v>
      </c>
      <c r="E149" t="n">
        <v>20</v>
      </c>
      <c r="F149" t="n">
        <v>196</v>
      </c>
      <c r="G149" t="n">
        <v>25</v>
      </c>
      <c r="H149" t="inlineStr">
        <is>
          <t>custom</t>
        </is>
      </c>
      <c r="I149" t="n">
        <v>14</v>
      </c>
      <c r="J149" t="n">
        <v>1</v>
      </c>
      <c r="K149" t="n">
        <v>0</v>
      </c>
      <c r="L149" t="n">
        <v>0</v>
      </c>
      <c r="N149" t="inlineStr">
        <is>
          <t>FFFFFF</t>
        </is>
      </c>
      <c r="O149" t="inlineStr">
        <is>
          <t>L</t>
        </is>
      </c>
      <c r="Q149" t="n">
        <v>2</v>
      </c>
      <c r="R149" t="b">
        <v>0</v>
      </c>
      <c r="S149" t="inlineStr">
        <is>
          <t xml:space="preserve"> </t>
        </is>
      </c>
      <c r="T149" t="n">
        <v>0</v>
      </c>
    </row>
    <row r="150">
      <c r="A150" t="inlineStr">
        <is>
          <t>indicator_description</t>
        </is>
      </c>
      <c r="B150" t="n">
        <v>64</v>
      </c>
      <c r="C150" t="inlineStr">
        <is>
          <t>T</t>
        </is>
      </c>
      <c r="D150" t="n">
        <v>14</v>
      </c>
      <c r="E150" t="n">
        <v>33</v>
      </c>
      <c r="F150" t="n">
        <v>196</v>
      </c>
      <c r="G150" t="n">
        <v>38</v>
      </c>
      <c r="H150" t="inlineStr">
        <is>
          <t>custom</t>
        </is>
      </c>
      <c r="I150" t="n">
        <v>12</v>
      </c>
      <c r="J150" t="n">
        <v>0</v>
      </c>
      <c r="K150" t="n">
        <v>0</v>
      </c>
      <c r="L150" t="n">
        <v>0</v>
      </c>
      <c r="N150" t="inlineStr">
        <is>
          <t>FFFFFF</t>
        </is>
      </c>
      <c r="O150" t="inlineStr">
        <is>
          <t>L</t>
        </is>
      </c>
      <c r="Q150" t="n">
        <v>2</v>
      </c>
      <c r="R150" t="b">
        <v>1</v>
      </c>
      <c r="S150" t="inlineStr">
        <is>
          <t xml:space="preserve"> </t>
        </is>
      </c>
      <c r="T150" t="n">
        <v>0</v>
      </c>
    </row>
    <row r="151">
      <c r="A151" t="inlineStr">
        <is>
          <t>indicator_map</t>
        </is>
      </c>
      <c r="B151" t="n">
        <v>64</v>
      </c>
      <c r="C151" t="inlineStr">
        <is>
          <t>I</t>
        </is>
      </c>
      <c r="D151" t="n">
        <v>14</v>
      </c>
      <c r="E151" t="n">
        <v>80</v>
      </c>
      <c r="F151" t="n">
        <v>196</v>
      </c>
      <c r="G151" t="n">
        <v>245</v>
      </c>
      <c r="I151" t="n">
        <v>0</v>
      </c>
      <c r="J151" t="n">
        <v>0</v>
      </c>
      <c r="K151" t="n">
        <v>0</v>
      </c>
      <c r="L151" t="n">
        <v>0</v>
      </c>
      <c r="N151" t="inlineStr">
        <is>
          <t>FFFFFF</t>
        </is>
      </c>
      <c r="O151" t="inlineStr">
        <is>
          <t>L</t>
        </is>
      </c>
      <c r="Q151" t="n">
        <v>2</v>
      </c>
      <c r="R151" t="b">
        <v>0</v>
      </c>
      <c r="S151" t="inlineStr">
        <is>
          <t xml:space="preserve"> </t>
        </is>
      </c>
      <c r="T151" t="n">
        <v>0</v>
      </c>
    </row>
    <row r="152">
      <c r="A152" t="inlineStr">
        <is>
          <t>indicator_label</t>
        </is>
      </c>
      <c r="B152" t="n">
        <v>64</v>
      </c>
      <c r="C152" t="inlineStr">
        <is>
          <t>T</t>
        </is>
      </c>
      <c r="D152" t="n">
        <v>30</v>
      </c>
      <c r="E152" t="n">
        <v>253</v>
      </c>
      <c r="F152" t="n">
        <v>180</v>
      </c>
      <c r="G152" t="n">
        <v>261</v>
      </c>
      <c r="H152" t="inlineStr">
        <is>
          <t>custom</t>
        </is>
      </c>
      <c r="I152" t="n">
        <v>16</v>
      </c>
      <c r="J152" t="n">
        <v>0</v>
      </c>
      <c r="K152" t="n">
        <v>0</v>
      </c>
      <c r="L152" t="n">
        <v>0</v>
      </c>
      <c r="M152" t="inlineStr">
        <is>
          <t>584b9f</t>
        </is>
      </c>
      <c r="N152" t="inlineStr">
        <is>
          <t>FFFFFF</t>
        </is>
      </c>
      <c r="O152" t="inlineStr">
        <is>
          <t>C</t>
        </is>
      </c>
      <c r="Q152" t="n">
        <v>2</v>
      </c>
      <c r="R152" t="b">
        <v>1</v>
      </c>
      <c r="S152" t="inlineStr">
        <is>
          <t xml:space="preserve"> </t>
        </is>
      </c>
      <c r="T152" t="n">
        <v>0</v>
      </c>
    </row>
    <row r="153">
      <c r="A153" t="inlineStr">
        <is>
          <t>title_city</t>
        </is>
      </c>
      <c r="B153" t="n">
        <v>65</v>
      </c>
      <c r="C153" t="inlineStr">
        <is>
          <t>T</t>
        </is>
      </c>
      <c r="D153" t="n">
        <v>0</v>
      </c>
      <c r="E153" t="n">
        <v>10</v>
      </c>
      <c r="F153" t="n">
        <v>200</v>
      </c>
      <c r="G153" t="n">
        <v>13</v>
      </c>
      <c r="H153" t="inlineStr">
        <is>
          <t>custom</t>
        </is>
      </c>
      <c r="I153" t="n">
        <v>10</v>
      </c>
      <c r="J153" t="n">
        <v>1</v>
      </c>
      <c r="K153" t="n">
        <v>0</v>
      </c>
      <c r="L153" t="n">
        <v>0</v>
      </c>
      <c r="M153" t="inlineStr">
        <is>
          <t>584b9f</t>
        </is>
      </c>
      <c r="N153" t="inlineStr">
        <is>
          <t>FFFFFF</t>
        </is>
      </c>
      <c r="O153" t="inlineStr">
        <is>
          <t>R</t>
        </is>
      </c>
      <c r="Q153" t="n">
        <v>5</v>
      </c>
      <c r="R153" t="b">
        <v>0</v>
      </c>
      <c r="S153" t="inlineStr">
        <is>
          <t xml:space="preserve"> </t>
        </is>
      </c>
      <c r="T153" t="n">
        <v>0</v>
      </c>
    </row>
    <row r="154">
      <c r="A154" t="inlineStr">
        <is>
          <t>indicator_header</t>
        </is>
      </c>
      <c r="B154" t="n">
        <v>65</v>
      </c>
      <c r="C154" t="inlineStr">
        <is>
          <t>T</t>
        </is>
      </c>
      <c r="D154" t="n">
        <v>14</v>
      </c>
      <c r="E154" t="n">
        <v>20</v>
      </c>
      <c r="F154" t="n">
        <v>196</v>
      </c>
      <c r="G154" t="n">
        <v>25</v>
      </c>
      <c r="H154" t="inlineStr">
        <is>
          <t>custom</t>
        </is>
      </c>
      <c r="I154" t="n">
        <v>14</v>
      </c>
      <c r="J154" t="n">
        <v>1</v>
      </c>
      <c r="K154" t="n">
        <v>0</v>
      </c>
      <c r="L154" t="n">
        <v>0</v>
      </c>
      <c r="N154" t="inlineStr">
        <is>
          <t>FFFFFF</t>
        </is>
      </c>
      <c r="O154" t="inlineStr">
        <is>
          <t>L</t>
        </is>
      </c>
      <c r="Q154" t="n">
        <v>2</v>
      </c>
      <c r="R154" t="b">
        <v>0</v>
      </c>
      <c r="S154" t="inlineStr">
        <is>
          <t xml:space="preserve"> </t>
        </is>
      </c>
      <c r="T154" t="n">
        <v>0</v>
      </c>
    </row>
    <row r="155">
      <c r="A155" t="inlineStr">
        <is>
          <t>indicator_description</t>
        </is>
      </c>
      <c r="B155" t="n">
        <v>65</v>
      </c>
      <c r="C155" t="inlineStr">
        <is>
          <t>T</t>
        </is>
      </c>
      <c r="D155" t="n">
        <v>14</v>
      </c>
      <c r="E155" t="n">
        <v>33</v>
      </c>
      <c r="F155" t="n">
        <v>196</v>
      </c>
      <c r="G155" t="n">
        <v>38</v>
      </c>
      <c r="H155" t="inlineStr">
        <is>
          <t>custom</t>
        </is>
      </c>
      <c r="I155" t="n">
        <v>12</v>
      </c>
      <c r="J155" t="n">
        <v>0</v>
      </c>
      <c r="K155" t="n">
        <v>0</v>
      </c>
      <c r="L155" t="n">
        <v>0</v>
      </c>
      <c r="N155" t="inlineStr">
        <is>
          <t>FFFFFF</t>
        </is>
      </c>
      <c r="O155" t="inlineStr">
        <is>
          <t>L</t>
        </is>
      </c>
      <c r="Q155" t="n">
        <v>2</v>
      </c>
      <c r="R155" t="b">
        <v>1</v>
      </c>
      <c r="S155" t="inlineStr">
        <is>
          <t xml:space="preserve"> </t>
        </is>
      </c>
      <c r="T155" t="n">
        <v>0</v>
      </c>
    </row>
    <row r="156">
      <c r="A156" t="inlineStr">
        <is>
          <t>indicator_map</t>
        </is>
      </c>
      <c r="B156" t="n">
        <v>65</v>
      </c>
      <c r="C156" t="inlineStr">
        <is>
          <t>I</t>
        </is>
      </c>
      <c r="D156" t="n">
        <v>14</v>
      </c>
      <c r="E156" t="n">
        <v>80</v>
      </c>
      <c r="F156" t="n">
        <v>196</v>
      </c>
      <c r="G156" t="n">
        <v>245</v>
      </c>
      <c r="I156" t="n">
        <v>0</v>
      </c>
      <c r="J156" t="n">
        <v>0</v>
      </c>
      <c r="K156" t="n">
        <v>0</v>
      </c>
      <c r="L156" t="n">
        <v>0</v>
      </c>
      <c r="N156" t="inlineStr">
        <is>
          <t>FFFFFF</t>
        </is>
      </c>
      <c r="O156" t="inlineStr">
        <is>
          <t>L</t>
        </is>
      </c>
      <c r="Q156" t="n">
        <v>2</v>
      </c>
      <c r="R156" t="b">
        <v>0</v>
      </c>
      <c r="S156" t="inlineStr">
        <is>
          <t xml:space="preserve"> </t>
        </is>
      </c>
      <c r="T156" t="n">
        <v>0</v>
      </c>
    </row>
    <row r="157">
      <c r="A157" t="inlineStr">
        <is>
          <t>indicator_label</t>
        </is>
      </c>
      <c r="B157" t="n">
        <v>65</v>
      </c>
      <c r="C157" t="inlineStr">
        <is>
          <t>T</t>
        </is>
      </c>
      <c r="D157" t="n">
        <v>30</v>
      </c>
      <c r="E157" t="n">
        <v>253</v>
      </c>
      <c r="F157" t="n">
        <v>180</v>
      </c>
      <c r="G157" t="n">
        <v>261</v>
      </c>
      <c r="H157" t="inlineStr">
        <is>
          <t>custom</t>
        </is>
      </c>
      <c r="I157" t="n">
        <v>16</v>
      </c>
      <c r="J157" t="n">
        <v>0</v>
      </c>
      <c r="K157" t="n">
        <v>0</v>
      </c>
      <c r="L157" t="n">
        <v>0</v>
      </c>
      <c r="M157" t="inlineStr">
        <is>
          <t>584b9f</t>
        </is>
      </c>
      <c r="N157" t="inlineStr">
        <is>
          <t>FFFFFF</t>
        </is>
      </c>
      <c r="O157" t="inlineStr">
        <is>
          <t>C</t>
        </is>
      </c>
      <c r="Q157" t="n">
        <v>2</v>
      </c>
      <c r="R157" t="b">
        <v>1</v>
      </c>
      <c r="S157" t="inlineStr">
        <is>
          <t xml:space="preserve"> </t>
        </is>
      </c>
      <c r="T157" t="n">
        <v>0</v>
      </c>
    </row>
    <row r="158">
      <c r="A158" t="inlineStr">
        <is>
          <t>title_city</t>
        </is>
      </c>
      <c r="B158" t="n">
        <v>66</v>
      </c>
      <c r="C158" t="inlineStr">
        <is>
          <t>T</t>
        </is>
      </c>
      <c r="D158" t="n">
        <v>0</v>
      </c>
      <c r="E158" t="n">
        <v>10</v>
      </c>
      <c r="F158" t="n">
        <v>200</v>
      </c>
      <c r="G158" t="n">
        <v>13</v>
      </c>
      <c r="H158" t="inlineStr">
        <is>
          <t>custom</t>
        </is>
      </c>
      <c r="I158" t="n">
        <v>10</v>
      </c>
      <c r="J158" t="n">
        <v>1</v>
      </c>
      <c r="K158" t="n">
        <v>0</v>
      </c>
      <c r="L158" t="n">
        <v>0</v>
      </c>
      <c r="M158" t="inlineStr">
        <is>
          <t>584b9f</t>
        </is>
      </c>
      <c r="N158" t="inlineStr">
        <is>
          <t>FFFFFF</t>
        </is>
      </c>
      <c r="O158" t="inlineStr">
        <is>
          <t>R</t>
        </is>
      </c>
      <c r="Q158" t="n">
        <v>5</v>
      </c>
      <c r="R158" t="b">
        <v>0</v>
      </c>
      <c r="S158" t="inlineStr">
        <is>
          <t xml:space="preserve"> </t>
        </is>
      </c>
      <c r="T158" t="n">
        <v>0</v>
      </c>
    </row>
    <row r="159">
      <c r="A159" t="inlineStr">
        <is>
          <t>indicator_header</t>
        </is>
      </c>
      <c r="B159" t="n">
        <v>66</v>
      </c>
      <c r="C159" t="inlineStr">
        <is>
          <t>T</t>
        </is>
      </c>
      <c r="D159" t="n">
        <v>14</v>
      </c>
      <c r="E159" t="n">
        <v>20</v>
      </c>
      <c r="F159" t="n">
        <v>196</v>
      </c>
      <c r="G159" t="n">
        <v>25</v>
      </c>
      <c r="H159" t="inlineStr">
        <is>
          <t>custom</t>
        </is>
      </c>
      <c r="I159" t="n">
        <v>14</v>
      </c>
      <c r="J159" t="n">
        <v>1</v>
      </c>
      <c r="K159" t="n">
        <v>0</v>
      </c>
      <c r="L159" t="n">
        <v>0</v>
      </c>
      <c r="N159" t="inlineStr">
        <is>
          <t>FFFFFF</t>
        </is>
      </c>
      <c r="O159" t="inlineStr">
        <is>
          <t>L</t>
        </is>
      </c>
      <c r="Q159" t="n">
        <v>2</v>
      </c>
      <c r="R159" t="b">
        <v>0</v>
      </c>
      <c r="S159" t="inlineStr">
        <is>
          <t xml:space="preserve"> </t>
        </is>
      </c>
      <c r="T159" t="n">
        <v>0</v>
      </c>
    </row>
    <row r="160">
      <c r="A160" t="inlineStr">
        <is>
          <t>indicator_description</t>
        </is>
      </c>
      <c r="B160" t="n">
        <v>66</v>
      </c>
      <c r="C160" t="inlineStr">
        <is>
          <t>T</t>
        </is>
      </c>
      <c r="D160" t="n">
        <v>14</v>
      </c>
      <c r="E160" t="n">
        <v>33</v>
      </c>
      <c r="F160" t="n">
        <v>196</v>
      </c>
      <c r="G160" t="n">
        <v>38</v>
      </c>
      <c r="H160" t="inlineStr">
        <is>
          <t>custom</t>
        </is>
      </c>
      <c r="I160" t="n">
        <v>12</v>
      </c>
      <c r="J160" t="n">
        <v>0</v>
      </c>
      <c r="K160" t="n">
        <v>0</v>
      </c>
      <c r="L160" t="n">
        <v>0</v>
      </c>
      <c r="N160" t="inlineStr">
        <is>
          <t>FFFFFF</t>
        </is>
      </c>
      <c r="O160" t="inlineStr">
        <is>
          <t>L</t>
        </is>
      </c>
      <c r="Q160" t="n">
        <v>2</v>
      </c>
      <c r="R160" t="b">
        <v>1</v>
      </c>
      <c r="S160" t="inlineStr">
        <is>
          <t xml:space="preserve"> </t>
        </is>
      </c>
      <c r="T160" t="n">
        <v>0</v>
      </c>
    </row>
    <row r="161">
      <c r="A161" t="inlineStr">
        <is>
          <t>indicator_map</t>
        </is>
      </c>
      <c r="B161" t="n">
        <v>66</v>
      </c>
      <c r="C161" t="inlineStr">
        <is>
          <t>I</t>
        </is>
      </c>
      <c r="D161" t="n">
        <v>14</v>
      </c>
      <c r="E161" t="n">
        <v>80</v>
      </c>
      <c r="F161" t="n">
        <v>196</v>
      </c>
      <c r="G161" t="n">
        <v>245</v>
      </c>
      <c r="I161" t="n">
        <v>0</v>
      </c>
      <c r="J161" t="n">
        <v>0</v>
      </c>
      <c r="K161" t="n">
        <v>0</v>
      </c>
      <c r="L161" t="n">
        <v>0</v>
      </c>
      <c r="N161" t="inlineStr">
        <is>
          <t>FFFFFF</t>
        </is>
      </c>
      <c r="O161" t="inlineStr">
        <is>
          <t>L</t>
        </is>
      </c>
      <c r="Q161" t="n">
        <v>2</v>
      </c>
      <c r="R161" t="b">
        <v>0</v>
      </c>
      <c r="S161" t="inlineStr">
        <is>
          <t xml:space="preserve"> </t>
        </is>
      </c>
      <c r="T161" t="n">
        <v>0</v>
      </c>
    </row>
    <row r="162">
      <c r="A162" t="inlineStr">
        <is>
          <t>indicator_label</t>
        </is>
      </c>
      <c r="B162" t="n">
        <v>66</v>
      </c>
      <c r="C162" t="inlineStr">
        <is>
          <t>T</t>
        </is>
      </c>
      <c r="D162" t="n">
        <v>30</v>
      </c>
      <c r="E162" t="n">
        <v>253</v>
      </c>
      <c r="F162" t="n">
        <v>180</v>
      </c>
      <c r="G162" t="n">
        <v>261</v>
      </c>
      <c r="H162" t="inlineStr">
        <is>
          <t>custom</t>
        </is>
      </c>
      <c r="I162" t="n">
        <v>16</v>
      </c>
      <c r="J162" t="n">
        <v>0</v>
      </c>
      <c r="K162" t="n">
        <v>0</v>
      </c>
      <c r="L162" t="n">
        <v>0</v>
      </c>
      <c r="M162" t="inlineStr">
        <is>
          <t>584b9f</t>
        </is>
      </c>
      <c r="N162" t="inlineStr">
        <is>
          <t>FFFFFF</t>
        </is>
      </c>
      <c r="O162" t="inlineStr">
        <is>
          <t>C</t>
        </is>
      </c>
      <c r="Q162" t="n">
        <v>2</v>
      </c>
      <c r="R162" t="b">
        <v>1</v>
      </c>
      <c r="S162" t="inlineStr">
        <is>
          <t xml:space="preserve"> </t>
        </is>
      </c>
      <c r="T162" t="n">
        <v>0</v>
      </c>
    </row>
    <row r="163">
      <c r="A163" t="inlineStr">
        <is>
          <t>title_city</t>
        </is>
      </c>
      <c r="B163" t="n">
        <v>67</v>
      </c>
      <c r="C163" t="inlineStr">
        <is>
          <t>T</t>
        </is>
      </c>
      <c r="D163" t="n">
        <v>0</v>
      </c>
      <c r="E163" t="n">
        <v>10</v>
      </c>
      <c r="F163" t="n">
        <v>200</v>
      </c>
      <c r="G163" t="n">
        <v>13</v>
      </c>
      <c r="H163" t="inlineStr">
        <is>
          <t>custom</t>
        </is>
      </c>
      <c r="I163" t="n">
        <v>10</v>
      </c>
      <c r="J163" t="n">
        <v>1</v>
      </c>
      <c r="K163" t="n">
        <v>0</v>
      </c>
      <c r="L163" t="n">
        <v>0</v>
      </c>
      <c r="M163" t="inlineStr">
        <is>
          <t>584b9f</t>
        </is>
      </c>
      <c r="N163" t="inlineStr">
        <is>
          <t>FFFFFF</t>
        </is>
      </c>
      <c r="O163" t="inlineStr">
        <is>
          <t>R</t>
        </is>
      </c>
      <c r="Q163" t="n">
        <v>5</v>
      </c>
      <c r="R163" t="b">
        <v>0</v>
      </c>
      <c r="S163" t="inlineStr">
        <is>
          <t xml:space="preserve"> </t>
        </is>
      </c>
      <c r="T163" t="n">
        <v>0</v>
      </c>
    </row>
    <row r="164">
      <c r="A164" t="inlineStr">
        <is>
          <t>indicator_header</t>
        </is>
      </c>
      <c r="B164" t="n">
        <v>67</v>
      </c>
      <c r="C164" t="inlineStr">
        <is>
          <t>T</t>
        </is>
      </c>
      <c r="D164" t="n">
        <v>14</v>
      </c>
      <c r="E164" t="n">
        <v>20</v>
      </c>
      <c r="F164" t="n">
        <v>196</v>
      </c>
      <c r="G164" t="n">
        <v>25</v>
      </c>
      <c r="H164" t="inlineStr">
        <is>
          <t>custom</t>
        </is>
      </c>
      <c r="I164" t="n">
        <v>14</v>
      </c>
      <c r="J164" t="n">
        <v>1</v>
      </c>
      <c r="K164" t="n">
        <v>0</v>
      </c>
      <c r="L164" t="n">
        <v>0</v>
      </c>
      <c r="N164" t="inlineStr">
        <is>
          <t>FFFFFF</t>
        </is>
      </c>
      <c r="O164" t="inlineStr">
        <is>
          <t>L</t>
        </is>
      </c>
      <c r="Q164" t="n">
        <v>2</v>
      </c>
      <c r="R164" t="b">
        <v>0</v>
      </c>
      <c r="S164" t="inlineStr">
        <is>
          <t xml:space="preserve"> </t>
        </is>
      </c>
      <c r="T164" t="n">
        <v>0</v>
      </c>
    </row>
    <row r="165">
      <c r="A165" t="inlineStr">
        <is>
          <t>indicator_description</t>
        </is>
      </c>
      <c r="B165" t="n">
        <v>67</v>
      </c>
      <c r="C165" t="inlineStr">
        <is>
          <t>T</t>
        </is>
      </c>
      <c r="D165" t="n">
        <v>14</v>
      </c>
      <c r="E165" t="n">
        <v>33</v>
      </c>
      <c r="F165" t="n">
        <v>196</v>
      </c>
      <c r="G165" t="n">
        <v>38</v>
      </c>
      <c r="H165" t="inlineStr">
        <is>
          <t>custom</t>
        </is>
      </c>
      <c r="I165" t="n">
        <v>12</v>
      </c>
      <c r="J165" t="n">
        <v>0</v>
      </c>
      <c r="K165" t="n">
        <v>0</v>
      </c>
      <c r="L165" t="n">
        <v>0</v>
      </c>
      <c r="N165" t="inlineStr">
        <is>
          <t>FFFFFF</t>
        </is>
      </c>
      <c r="O165" t="inlineStr">
        <is>
          <t>L</t>
        </is>
      </c>
      <c r="Q165" t="n">
        <v>2</v>
      </c>
      <c r="R165" t="b">
        <v>1</v>
      </c>
      <c r="S165" t="inlineStr">
        <is>
          <t xml:space="preserve"> </t>
        </is>
      </c>
      <c r="T165" t="n">
        <v>0</v>
      </c>
    </row>
    <row r="166">
      <c r="A166" t="inlineStr">
        <is>
          <t>indicator_map</t>
        </is>
      </c>
      <c r="B166" t="n">
        <v>67</v>
      </c>
      <c r="C166" t="inlineStr">
        <is>
          <t>I</t>
        </is>
      </c>
      <c r="D166" t="n">
        <v>14</v>
      </c>
      <c r="E166" t="n">
        <v>80</v>
      </c>
      <c r="F166" t="n">
        <v>196</v>
      </c>
      <c r="G166" t="n">
        <v>245</v>
      </c>
      <c r="I166" t="n">
        <v>0</v>
      </c>
      <c r="J166" t="n">
        <v>0</v>
      </c>
      <c r="K166" t="n">
        <v>0</v>
      </c>
      <c r="L166" t="n">
        <v>0</v>
      </c>
      <c r="N166" t="inlineStr">
        <is>
          <t>FFFFFF</t>
        </is>
      </c>
      <c r="O166" t="inlineStr">
        <is>
          <t>L</t>
        </is>
      </c>
      <c r="Q166" t="n">
        <v>2</v>
      </c>
      <c r="R166" t="b">
        <v>0</v>
      </c>
      <c r="S166" t="inlineStr">
        <is>
          <t xml:space="preserve"> </t>
        </is>
      </c>
      <c r="T166" t="n">
        <v>0</v>
      </c>
    </row>
    <row r="167">
      <c r="A167" t="inlineStr">
        <is>
          <t>indicator_label</t>
        </is>
      </c>
      <c r="B167" t="n">
        <v>67</v>
      </c>
      <c r="C167" t="inlineStr">
        <is>
          <t>T</t>
        </is>
      </c>
      <c r="D167" t="n">
        <v>30</v>
      </c>
      <c r="E167" t="n">
        <v>253</v>
      </c>
      <c r="F167" t="n">
        <v>180</v>
      </c>
      <c r="G167" t="n">
        <v>261</v>
      </c>
      <c r="H167" t="inlineStr">
        <is>
          <t>custom</t>
        </is>
      </c>
      <c r="I167" t="n">
        <v>16</v>
      </c>
      <c r="J167" t="n">
        <v>0</v>
      </c>
      <c r="K167" t="n">
        <v>0</v>
      </c>
      <c r="L167" t="n">
        <v>0</v>
      </c>
      <c r="M167" t="inlineStr">
        <is>
          <t>584b9f</t>
        </is>
      </c>
      <c r="N167" t="inlineStr">
        <is>
          <t>FFFFFF</t>
        </is>
      </c>
      <c r="O167" t="inlineStr">
        <is>
          <t>C</t>
        </is>
      </c>
      <c r="Q167" t="n">
        <v>2</v>
      </c>
      <c r="R167" t="b">
        <v>1</v>
      </c>
      <c r="S167" t="inlineStr">
        <is>
          <t xml:space="preserve"> </t>
        </is>
      </c>
      <c r="T167" t="n">
        <v>0</v>
      </c>
    </row>
    <row r="168">
      <c r="A168" t="inlineStr">
        <is>
          <t>title_city</t>
        </is>
      </c>
      <c r="B168" t="n">
        <v>68</v>
      </c>
      <c r="C168" t="inlineStr">
        <is>
          <t>T</t>
        </is>
      </c>
      <c r="D168" t="n">
        <v>0</v>
      </c>
      <c r="E168" t="n">
        <v>10</v>
      </c>
      <c r="F168" t="n">
        <v>200</v>
      </c>
      <c r="G168" t="n">
        <v>13</v>
      </c>
      <c r="H168" t="inlineStr">
        <is>
          <t>custom</t>
        </is>
      </c>
      <c r="I168" t="n">
        <v>10</v>
      </c>
      <c r="J168" t="n">
        <v>1</v>
      </c>
      <c r="K168" t="n">
        <v>0</v>
      </c>
      <c r="L168" t="n">
        <v>0</v>
      </c>
      <c r="M168" t="inlineStr">
        <is>
          <t>584b9f</t>
        </is>
      </c>
      <c r="N168" t="inlineStr">
        <is>
          <t>FFFFFF</t>
        </is>
      </c>
      <c r="O168" t="inlineStr">
        <is>
          <t>R</t>
        </is>
      </c>
      <c r="Q168" t="n">
        <v>5</v>
      </c>
      <c r="R168" t="b">
        <v>0</v>
      </c>
      <c r="S168" t="inlineStr">
        <is>
          <t xml:space="preserve"> </t>
        </is>
      </c>
      <c r="T168" t="n">
        <v>0</v>
      </c>
    </row>
    <row r="169">
      <c r="A169" t="inlineStr">
        <is>
          <t>indicator_header</t>
        </is>
      </c>
      <c r="B169" t="n">
        <v>68</v>
      </c>
      <c r="C169" t="inlineStr">
        <is>
          <t>T</t>
        </is>
      </c>
      <c r="D169" t="n">
        <v>14</v>
      </c>
      <c r="E169" t="n">
        <v>20</v>
      </c>
      <c r="F169" t="n">
        <v>196</v>
      </c>
      <c r="G169" t="n">
        <v>25</v>
      </c>
      <c r="H169" t="inlineStr">
        <is>
          <t>custom</t>
        </is>
      </c>
      <c r="I169" t="n">
        <v>14</v>
      </c>
      <c r="J169" t="n">
        <v>1</v>
      </c>
      <c r="K169" t="n">
        <v>0</v>
      </c>
      <c r="L169" t="n">
        <v>0</v>
      </c>
      <c r="N169" t="inlineStr">
        <is>
          <t>FFFFFF</t>
        </is>
      </c>
      <c r="O169" t="inlineStr">
        <is>
          <t>L</t>
        </is>
      </c>
      <c r="Q169" t="n">
        <v>2</v>
      </c>
      <c r="R169" t="b">
        <v>0</v>
      </c>
      <c r="S169" t="inlineStr">
        <is>
          <t xml:space="preserve"> </t>
        </is>
      </c>
      <c r="T169" t="n">
        <v>0</v>
      </c>
    </row>
    <row r="170">
      <c r="A170" t="inlineStr">
        <is>
          <t>indicator_description</t>
        </is>
      </c>
      <c r="B170" t="n">
        <v>68</v>
      </c>
      <c r="C170" t="inlineStr">
        <is>
          <t>T</t>
        </is>
      </c>
      <c r="D170" t="n">
        <v>14</v>
      </c>
      <c r="E170" t="n">
        <v>33</v>
      </c>
      <c r="F170" t="n">
        <v>196</v>
      </c>
      <c r="G170" t="n">
        <v>38</v>
      </c>
      <c r="H170" t="inlineStr">
        <is>
          <t>custom</t>
        </is>
      </c>
      <c r="I170" t="n">
        <v>12</v>
      </c>
      <c r="J170" t="n">
        <v>0</v>
      </c>
      <c r="K170" t="n">
        <v>0</v>
      </c>
      <c r="L170" t="n">
        <v>0</v>
      </c>
      <c r="N170" t="inlineStr">
        <is>
          <t>FFFFFF</t>
        </is>
      </c>
      <c r="O170" t="inlineStr">
        <is>
          <t>L</t>
        </is>
      </c>
      <c r="Q170" t="n">
        <v>2</v>
      </c>
      <c r="R170" t="b">
        <v>1</v>
      </c>
      <c r="S170" t="inlineStr">
        <is>
          <t xml:space="preserve"> </t>
        </is>
      </c>
      <c r="T170" t="n">
        <v>0</v>
      </c>
    </row>
    <row r="171">
      <c r="A171" t="inlineStr">
        <is>
          <t>indicator_map</t>
        </is>
      </c>
      <c r="B171" t="n">
        <v>68</v>
      </c>
      <c r="C171" t="inlineStr">
        <is>
          <t>I</t>
        </is>
      </c>
      <c r="D171" t="n">
        <v>14</v>
      </c>
      <c r="E171" t="n">
        <v>80</v>
      </c>
      <c r="F171" t="n">
        <v>196</v>
      </c>
      <c r="G171" t="n">
        <v>245</v>
      </c>
      <c r="I171" t="n">
        <v>0</v>
      </c>
      <c r="J171" t="n">
        <v>0</v>
      </c>
      <c r="K171" t="n">
        <v>0</v>
      </c>
      <c r="L171" t="n">
        <v>0</v>
      </c>
      <c r="N171" t="inlineStr">
        <is>
          <t>FFFFFF</t>
        </is>
      </c>
      <c r="O171" t="inlineStr">
        <is>
          <t>L</t>
        </is>
      </c>
      <c r="Q171" t="n">
        <v>2</v>
      </c>
      <c r="R171" t="b">
        <v>0</v>
      </c>
      <c r="S171" t="inlineStr">
        <is>
          <t xml:space="preserve"> </t>
        </is>
      </c>
      <c r="T171" t="n">
        <v>0</v>
      </c>
    </row>
    <row r="172">
      <c r="A172" t="inlineStr">
        <is>
          <t>indicator_label</t>
        </is>
      </c>
      <c r="B172" t="n">
        <v>68</v>
      </c>
      <c r="C172" t="inlineStr">
        <is>
          <t>T</t>
        </is>
      </c>
      <c r="D172" t="n">
        <v>30</v>
      </c>
      <c r="E172" t="n">
        <v>253</v>
      </c>
      <c r="F172" t="n">
        <v>180</v>
      </c>
      <c r="G172" t="n">
        <v>261</v>
      </c>
      <c r="H172" t="inlineStr">
        <is>
          <t>custom</t>
        </is>
      </c>
      <c r="I172" t="n">
        <v>16</v>
      </c>
      <c r="J172" t="n">
        <v>0</v>
      </c>
      <c r="K172" t="n">
        <v>0</v>
      </c>
      <c r="L172" t="n">
        <v>0</v>
      </c>
      <c r="M172" t="inlineStr">
        <is>
          <t>584b9f</t>
        </is>
      </c>
      <c r="N172" t="inlineStr">
        <is>
          <t>FFFFFF</t>
        </is>
      </c>
      <c r="O172" t="inlineStr">
        <is>
          <t>C</t>
        </is>
      </c>
      <c r="Q172" t="n">
        <v>2</v>
      </c>
      <c r="R172" t="b">
        <v>1</v>
      </c>
      <c r="S172" t="inlineStr">
        <is>
          <t xml:space="preserve"> </t>
        </is>
      </c>
      <c r="T172" t="n">
        <v>0</v>
      </c>
    </row>
    <row r="173">
      <c r="A173" t="inlineStr">
        <is>
          <t>title_city</t>
        </is>
      </c>
      <c r="B173" t="n">
        <v>63</v>
      </c>
      <c r="C173" t="inlineStr">
        <is>
          <t>T</t>
        </is>
      </c>
      <c r="D173" t="n">
        <v>0</v>
      </c>
      <c r="E173" t="n">
        <v>10</v>
      </c>
      <c r="F173" t="n">
        <v>200</v>
      </c>
      <c r="G173" t="n">
        <v>13</v>
      </c>
      <c r="H173" t="inlineStr">
        <is>
          <t>custom</t>
        </is>
      </c>
      <c r="I173" t="n">
        <v>10</v>
      </c>
      <c r="J173" t="n">
        <v>1</v>
      </c>
      <c r="K173" t="n">
        <v>0</v>
      </c>
      <c r="L173" t="n">
        <v>0</v>
      </c>
      <c r="M173" t="inlineStr">
        <is>
          <t>584b9f</t>
        </is>
      </c>
      <c r="N173" t="inlineStr">
        <is>
          <t>FFFFFF</t>
        </is>
      </c>
      <c r="O173" t="inlineStr">
        <is>
          <t>R</t>
        </is>
      </c>
      <c r="Q173" t="n">
        <v>5</v>
      </c>
      <c r="R173" t="b">
        <v>0</v>
      </c>
      <c r="S173" t="inlineStr">
        <is>
          <t xml:space="preserve"> </t>
        </is>
      </c>
      <c r="T173" t="n">
        <v>0</v>
      </c>
    </row>
    <row r="174">
      <c r="A174" t="inlineStr">
        <is>
          <t>indicator_header</t>
        </is>
      </c>
      <c r="B174" t="n">
        <v>63</v>
      </c>
      <c r="C174" t="inlineStr">
        <is>
          <t>T</t>
        </is>
      </c>
      <c r="D174" t="n">
        <v>14</v>
      </c>
      <c r="E174" t="n">
        <v>20</v>
      </c>
      <c r="F174" t="n">
        <v>180</v>
      </c>
      <c r="G174" t="n">
        <v>25</v>
      </c>
      <c r="H174" t="inlineStr">
        <is>
          <t>custom</t>
        </is>
      </c>
      <c r="I174" t="n">
        <v>12</v>
      </c>
      <c r="J174" t="n">
        <v>1</v>
      </c>
      <c r="K174" t="n">
        <v>0</v>
      </c>
      <c r="L174" t="n">
        <v>0</v>
      </c>
      <c r="N174" t="inlineStr">
        <is>
          <t>FFFFFF</t>
        </is>
      </c>
      <c r="O174" t="inlineStr">
        <is>
          <t>L</t>
        </is>
      </c>
      <c r="Q174" t="n">
        <v>3</v>
      </c>
      <c r="R174" t="b">
        <v>0</v>
      </c>
      <c r="S174" t="inlineStr">
        <is>
          <t xml:space="preserve"> </t>
        </is>
      </c>
      <c r="T174" t="n">
        <v>0</v>
      </c>
    </row>
    <row r="175">
      <c r="A175" t="inlineStr">
        <is>
          <t>threshold scale text</t>
        </is>
      </c>
      <c r="B175" t="n">
        <v>63</v>
      </c>
      <c r="C175" t="inlineStr">
        <is>
          <t>T</t>
        </is>
      </c>
      <c r="D175" t="n">
        <v>29</v>
      </c>
      <c r="E175" t="n">
        <v>33</v>
      </c>
      <c r="F175" t="n">
        <v>196</v>
      </c>
      <c r="G175" t="n">
        <v>38</v>
      </c>
      <c r="H175" t="inlineStr">
        <is>
          <t>custom</t>
        </is>
      </c>
      <c r="I175" t="n">
        <v>10</v>
      </c>
      <c r="J175" t="n">
        <v>1</v>
      </c>
      <c r="K175" t="n">
        <v>0</v>
      </c>
      <c r="L175" t="n">
        <v>0</v>
      </c>
      <c r="N175" t="inlineStr">
        <is>
          <t>FFFFFF</t>
        </is>
      </c>
      <c r="O175" t="inlineStr">
        <is>
          <t>L</t>
        </is>
      </c>
      <c r="Q175" t="n">
        <v>1</v>
      </c>
      <c r="R175" t="b">
        <v>0</v>
      </c>
      <c r="S175" t="inlineStr">
        <is>
          <t xml:space="preserve"> </t>
        </is>
      </c>
      <c r="T175" t="n">
        <v>0</v>
      </c>
    </row>
    <row r="176">
      <c r="A176" t="inlineStr">
        <is>
          <t>thresholds image</t>
        </is>
      </c>
      <c r="B176" t="n">
        <v>63</v>
      </c>
      <c r="C176" t="inlineStr">
        <is>
          <t>I</t>
        </is>
      </c>
      <c r="D176" t="n">
        <v>40</v>
      </c>
      <c r="E176" t="n">
        <v>40</v>
      </c>
      <c r="F176" t="n">
        <v>104</v>
      </c>
      <c r="G176" t="n">
        <v>81</v>
      </c>
      <c r="I176" t="n">
        <v>1</v>
      </c>
      <c r="J176" t="n">
        <v>0</v>
      </c>
      <c r="K176" t="n">
        <v>0</v>
      </c>
      <c r="L176" t="n">
        <v>0</v>
      </c>
      <c r="M176" t="inlineStr">
        <is>
          <t>CCCCCCC</t>
        </is>
      </c>
      <c r="N176" t="inlineStr">
        <is>
          <t>FFFFFF</t>
        </is>
      </c>
      <c r="O176" t="inlineStr">
        <is>
          <t>L</t>
        </is>
      </c>
      <c r="P176" t="inlineStr">
        <is>
          <t>configuration/assets/illustrative density thresholds - intersections - no text.svg</t>
        </is>
      </c>
      <c r="Q176" t="n">
        <v>2</v>
      </c>
      <c r="R176" t="b">
        <v>0</v>
      </c>
      <c r="S176" t="inlineStr">
        <is>
          <t xml:space="preserve"> </t>
        </is>
      </c>
      <c r="T176" t="n">
        <v>0</v>
      </c>
    </row>
    <row r="177">
      <c r="A177" t="inlineStr">
        <is>
          <t>pct_100</t>
        </is>
      </c>
      <c r="B177" t="n">
        <v>63</v>
      </c>
      <c r="C177" t="inlineStr">
        <is>
          <t>T</t>
        </is>
      </c>
      <c r="D177" t="n">
        <v>14</v>
      </c>
      <c r="E177" t="n">
        <v>38</v>
      </c>
      <c r="F177" t="n">
        <v>40</v>
      </c>
      <c r="G177" t="n">
        <v>43</v>
      </c>
      <c r="H177" t="inlineStr">
        <is>
          <t>custom</t>
        </is>
      </c>
      <c r="I177" t="n">
        <v>10</v>
      </c>
      <c r="J177" t="n">
        <v>0</v>
      </c>
      <c r="K177" t="n">
        <v>0</v>
      </c>
      <c r="L177" t="n">
        <v>0</v>
      </c>
      <c r="N177" t="inlineStr">
        <is>
          <t>FFFFFF</t>
        </is>
      </c>
      <c r="O177" t="inlineStr">
        <is>
          <t>R</t>
        </is>
      </c>
      <c r="Q177" t="n">
        <v>3</v>
      </c>
      <c r="R177" t="b">
        <v>0</v>
      </c>
      <c r="S177" t="inlineStr">
        <is>
          <t xml:space="preserve"> </t>
        </is>
      </c>
      <c r="T177" t="n">
        <v>0</v>
      </c>
    </row>
    <row r="178">
      <c r="A178" t="inlineStr">
        <is>
          <t>pct_80</t>
        </is>
      </c>
      <c r="B178" t="n">
        <v>63</v>
      </c>
      <c r="C178" t="inlineStr">
        <is>
          <t>T</t>
        </is>
      </c>
      <c r="D178" t="n">
        <v>14</v>
      </c>
      <c r="E178" t="n">
        <v>46</v>
      </c>
      <c r="F178" t="n">
        <v>40</v>
      </c>
      <c r="G178" t="n">
        <v>51</v>
      </c>
      <c r="H178" t="inlineStr">
        <is>
          <t>custom</t>
        </is>
      </c>
      <c r="I178" t="n">
        <v>10</v>
      </c>
      <c r="J178" t="n">
        <v>0</v>
      </c>
      <c r="K178" t="n">
        <v>0</v>
      </c>
      <c r="L178" t="n">
        <v>0</v>
      </c>
      <c r="N178" t="inlineStr">
        <is>
          <t>FFFFFF</t>
        </is>
      </c>
      <c r="O178" t="inlineStr">
        <is>
          <t>R</t>
        </is>
      </c>
      <c r="Q178" t="n">
        <v>3</v>
      </c>
      <c r="R178" t="b">
        <v>0</v>
      </c>
      <c r="S178" t="inlineStr">
        <is>
          <t xml:space="preserve"> </t>
        </is>
      </c>
      <c r="T178" t="n">
        <v>0</v>
      </c>
    </row>
    <row r="179">
      <c r="A179" t="inlineStr">
        <is>
          <t>pct_60</t>
        </is>
      </c>
      <c r="B179" t="n">
        <v>63</v>
      </c>
      <c r="C179" t="inlineStr">
        <is>
          <t>T</t>
        </is>
      </c>
      <c r="D179" t="n">
        <v>14</v>
      </c>
      <c r="E179" t="n">
        <v>54</v>
      </c>
      <c r="F179" t="n">
        <v>40</v>
      </c>
      <c r="G179" t="n">
        <v>59</v>
      </c>
      <c r="H179" t="inlineStr">
        <is>
          <t>custom</t>
        </is>
      </c>
      <c r="I179" t="n">
        <v>10</v>
      </c>
      <c r="J179" t="n">
        <v>0</v>
      </c>
      <c r="K179" t="n">
        <v>0</v>
      </c>
      <c r="L179" t="n">
        <v>0</v>
      </c>
      <c r="N179" t="inlineStr">
        <is>
          <t>FFFFFF</t>
        </is>
      </c>
      <c r="O179" t="inlineStr">
        <is>
          <t>R</t>
        </is>
      </c>
      <c r="Q179" t="n">
        <v>3</v>
      </c>
      <c r="R179" t="b">
        <v>0</v>
      </c>
      <c r="S179" t="inlineStr">
        <is>
          <t xml:space="preserve"> </t>
        </is>
      </c>
      <c r="T179" t="n">
        <v>0</v>
      </c>
    </row>
    <row r="180">
      <c r="A180" t="inlineStr">
        <is>
          <t>pct_40</t>
        </is>
      </c>
      <c r="B180" t="n">
        <v>63</v>
      </c>
      <c r="C180" t="inlineStr">
        <is>
          <t>T</t>
        </is>
      </c>
      <c r="D180" t="n">
        <v>14</v>
      </c>
      <c r="E180" t="n">
        <v>62</v>
      </c>
      <c r="F180" t="n">
        <v>40</v>
      </c>
      <c r="G180" t="n">
        <v>67</v>
      </c>
      <c r="H180" t="inlineStr">
        <is>
          <t>custom</t>
        </is>
      </c>
      <c r="I180" t="n">
        <v>10</v>
      </c>
      <c r="J180" t="n">
        <v>0</v>
      </c>
      <c r="K180" t="n">
        <v>0</v>
      </c>
      <c r="L180" t="n">
        <v>0</v>
      </c>
      <c r="N180" t="inlineStr">
        <is>
          <t>FFFFFF</t>
        </is>
      </c>
      <c r="O180" t="inlineStr">
        <is>
          <t>R</t>
        </is>
      </c>
      <c r="Q180" t="n">
        <v>3</v>
      </c>
      <c r="R180" t="b">
        <v>0</v>
      </c>
      <c r="S180" t="inlineStr">
        <is>
          <t xml:space="preserve"> </t>
        </is>
      </c>
      <c r="T180" t="n">
        <v>0</v>
      </c>
    </row>
    <row r="181">
      <c r="A181" t="inlineStr">
        <is>
          <t>pct_20</t>
        </is>
      </c>
      <c r="B181" t="n">
        <v>63</v>
      </c>
      <c r="C181" t="inlineStr">
        <is>
          <t>T</t>
        </is>
      </c>
      <c r="D181" t="n">
        <v>14</v>
      </c>
      <c r="E181" t="n">
        <v>70</v>
      </c>
      <c r="F181" t="n">
        <v>40</v>
      </c>
      <c r="G181" t="n">
        <v>75</v>
      </c>
      <c r="H181" t="inlineStr">
        <is>
          <t>custom</t>
        </is>
      </c>
      <c r="I181" t="n">
        <v>10</v>
      </c>
      <c r="J181" t="n">
        <v>0</v>
      </c>
      <c r="K181" t="n">
        <v>0</v>
      </c>
      <c r="L181" t="n">
        <v>0</v>
      </c>
      <c r="N181" t="inlineStr">
        <is>
          <t>FFFFFF</t>
        </is>
      </c>
      <c r="O181" t="inlineStr">
        <is>
          <t>R</t>
        </is>
      </c>
      <c r="Q181" t="n">
        <v>3</v>
      </c>
      <c r="R181" t="b">
        <v>0</v>
      </c>
      <c r="S181" t="inlineStr">
        <is>
          <t xml:space="preserve"> </t>
        </is>
      </c>
      <c r="T181" t="n">
        <v>0</v>
      </c>
    </row>
    <row r="182">
      <c r="A182" t="inlineStr">
        <is>
          <t>pct_0</t>
        </is>
      </c>
      <c r="B182" t="n">
        <v>63</v>
      </c>
      <c r="C182" t="inlineStr">
        <is>
          <t>T</t>
        </is>
      </c>
      <c r="D182" t="n">
        <v>14</v>
      </c>
      <c r="E182" t="n">
        <v>78</v>
      </c>
      <c r="F182" t="n">
        <v>40</v>
      </c>
      <c r="G182" t="n">
        <v>83</v>
      </c>
      <c r="H182" t="inlineStr">
        <is>
          <t>custom</t>
        </is>
      </c>
      <c r="I182" t="n">
        <v>10</v>
      </c>
      <c r="J182" t="n">
        <v>0</v>
      </c>
      <c r="K182" t="n">
        <v>0</v>
      </c>
      <c r="L182" t="n">
        <v>0</v>
      </c>
      <c r="N182" t="inlineStr">
        <is>
          <t>FFFFFF</t>
        </is>
      </c>
      <c r="O182" t="inlineStr">
        <is>
          <t>R</t>
        </is>
      </c>
      <c r="Q182" t="n">
        <v>3</v>
      </c>
      <c r="R182" t="b">
        <v>0</v>
      </c>
      <c r="S182" t="inlineStr">
        <is>
          <t xml:space="preserve"> </t>
        </is>
      </c>
      <c r="T182" t="n">
        <v>0</v>
      </c>
    </row>
    <row r="183">
      <c r="A183" t="inlineStr">
        <is>
          <t>thresholds attribution</t>
        </is>
      </c>
      <c r="B183" t="n">
        <v>63</v>
      </c>
      <c r="C183" t="inlineStr">
        <is>
          <t>T</t>
        </is>
      </c>
      <c r="D183" t="n">
        <v>109</v>
      </c>
      <c r="E183" t="n">
        <v>45</v>
      </c>
      <c r="F183" t="n">
        <v>196</v>
      </c>
      <c r="G183" t="n">
        <v>48</v>
      </c>
      <c r="H183" t="inlineStr">
        <is>
          <t>custom</t>
        </is>
      </c>
      <c r="I183" t="n">
        <v>8</v>
      </c>
      <c r="J183" t="n">
        <v>0</v>
      </c>
      <c r="K183" t="n">
        <v>0</v>
      </c>
      <c r="L183" t="n">
        <v>0</v>
      </c>
      <c r="M183" t="inlineStr">
        <is>
          <t>584b9f</t>
        </is>
      </c>
      <c r="O183" t="inlineStr">
        <is>
          <t>L</t>
        </is>
      </c>
      <c r="P183" t="inlineStr">
        <is>
          <t>Adapted from The Lancet Global Health (2022): https://www.thelancet.com/infographics-do/urban-design-2022</t>
        </is>
      </c>
      <c r="Q183" t="n">
        <v>3</v>
      </c>
      <c r="R183" t="b">
        <v>1</v>
      </c>
      <c r="S183" t="inlineStr">
        <is>
          <t xml:space="preserve"> </t>
        </is>
      </c>
      <c r="T183" t="n">
        <v>0</v>
      </c>
    </row>
    <row r="184">
      <c r="A184" t="inlineStr">
        <is>
          <t>threshold intersections</t>
        </is>
      </c>
      <c r="B184" t="n">
        <v>63</v>
      </c>
      <c r="C184" t="inlineStr">
        <is>
          <t>T</t>
        </is>
      </c>
      <c r="D184" t="n">
        <v>56</v>
      </c>
      <c r="E184" t="n">
        <v>82</v>
      </c>
      <c r="F184" t="n">
        <v>196</v>
      </c>
      <c r="G184" t="n">
        <v>90</v>
      </c>
      <c r="H184" t="inlineStr">
        <is>
          <t>custom</t>
        </is>
      </c>
      <c r="I184" t="n">
        <v>12</v>
      </c>
      <c r="J184" t="n">
        <v>1</v>
      </c>
      <c r="K184" t="n">
        <v>0</v>
      </c>
      <c r="L184" t="n">
        <v>0</v>
      </c>
      <c r="M184" t="inlineStr">
        <is>
          <t>92D050</t>
        </is>
      </c>
      <c r="N184" t="inlineStr">
        <is>
          <t>FFFFFF</t>
        </is>
      </c>
      <c r="O184" t="inlineStr">
        <is>
          <t>L</t>
        </is>
      </c>
      <c r="Q184" t="n">
        <v>3</v>
      </c>
      <c r="R184" t="b">
        <v>1</v>
      </c>
      <c r="S184" t="inlineStr">
        <is>
          <t xml:space="preserve"> </t>
        </is>
      </c>
      <c r="T184" t="n">
        <v>0</v>
      </c>
    </row>
    <row r="185">
      <c r="A185" t="inlineStr">
        <is>
          <t>line1</t>
        </is>
      </c>
      <c r="B185" t="n">
        <v>63</v>
      </c>
      <c r="C185" t="inlineStr">
        <is>
          <t>L</t>
        </is>
      </c>
      <c r="D185" t="n">
        <v>30</v>
      </c>
      <c r="E185" t="n">
        <v>100</v>
      </c>
      <c r="F185" t="n">
        <v>170</v>
      </c>
      <c r="G185" t="n">
        <v>100</v>
      </c>
      <c r="I185" t="n">
        <v>0</v>
      </c>
      <c r="J185" t="n">
        <v>0</v>
      </c>
      <c r="K185" t="n">
        <v>0</v>
      </c>
      <c r="L185" t="n">
        <v>0</v>
      </c>
      <c r="N185" t="inlineStr">
        <is>
          <t>FFFFFF</t>
        </is>
      </c>
      <c r="O185" t="inlineStr">
        <is>
          <t>L</t>
        </is>
      </c>
      <c r="Q185" t="n">
        <v>2</v>
      </c>
      <c r="R185" t="b">
        <v>0</v>
      </c>
      <c r="S185" t="inlineStr">
        <is>
          <t xml:space="preserve"> </t>
        </is>
      </c>
      <c r="T185" t="n">
        <v>0</v>
      </c>
    </row>
    <row r="186">
      <c r="A186" t="inlineStr">
        <is>
          <t>local_nh_intersection_density</t>
        </is>
      </c>
      <c r="B186" t="n">
        <v>63</v>
      </c>
      <c r="C186" t="inlineStr">
        <is>
          <t>I</t>
        </is>
      </c>
      <c r="D186" t="n">
        <v>20</v>
      </c>
      <c r="E186" t="n">
        <v>140</v>
      </c>
      <c r="F186" t="n">
        <v>180</v>
      </c>
      <c r="G186" t="n">
        <v>285</v>
      </c>
      <c r="I186" t="n">
        <v>0</v>
      </c>
      <c r="J186" t="n">
        <v>0</v>
      </c>
      <c r="K186" t="n">
        <v>0</v>
      </c>
      <c r="L186" t="n">
        <v>0</v>
      </c>
      <c r="N186" t="inlineStr">
        <is>
          <t>FFFFFF</t>
        </is>
      </c>
      <c r="O186" t="inlineStr">
        <is>
          <t>L</t>
        </is>
      </c>
      <c r="Q186" t="n">
        <v>2</v>
      </c>
      <c r="R186" t="b">
        <v>0</v>
      </c>
      <c r="S186" t="inlineStr">
        <is>
          <t xml:space="preserve"> </t>
        </is>
      </c>
      <c r="T186" t="n">
        <v>0</v>
      </c>
    </row>
    <row r="187">
      <c r="A187" t="inlineStr">
        <is>
          <t>Mean 1000 m neighbourhood street intersections per km²</t>
        </is>
      </c>
      <c r="B187" t="n">
        <v>63</v>
      </c>
      <c r="C187" t="inlineStr">
        <is>
          <t>T</t>
        </is>
      </c>
      <c r="D187" t="n">
        <v>14</v>
      </c>
      <c r="E187" t="n">
        <v>110</v>
      </c>
      <c r="F187" t="n">
        <v>196</v>
      </c>
      <c r="G187" t="n">
        <v>118</v>
      </c>
      <c r="H187" t="inlineStr">
        <is>
          <t>custom</t>
        </is>
      </c>
      <c r="I187" t="n">
        <v>14</v>
      </c>
      <c r="J187" t="n">
        <v>0</v>
      </c>
      <c r="K187" t="n">
        <v>0</v>
      </c>
      <c r="L187" t="n">
        <v>0</v>
      </c>
      <c r="M187" t="inlineStr">
        <is>
          <t>584b9f</t>
        </is>
      </c>
      <c r="N187" t="inlineStr">
        <is>
          <t>FFFFFF</t>
        </is>
      </c>
      <c r="O187" t="inlineStr">
        <is>
          <t>C</t>
        </is>
      </c>
      <c r="Q187" t="n">
        <v>3</v>
      </c>
      <c r="R187" t="b">
        <v>1</v>
      </c>
      <c r="S187" t="inlineStr">
        <is>
          <t xml:space="preserve"> </t>
        </is>
      </c>
      <c r="T187" t="n">
        <v>0</v>
      </c>
    </row>
    <row r="188">
      <c r="A188" t="inlineStr">
        <is>
          <t>title_city</t>
        </is>
      </c>
      <c r="B188" t="n">
        <v>69</v>
      </c>
      <c r="C188" t="inlineStr">
        <is>
          <t>T</t>
        </is>
      </c>
      <c r="D188" t="n">
        <v>0</v>
      </c>
      <c r="E188" t="n">
        <v>10</v>
      </c>
      <c r="F188" t="n">
        <v>200</v>
      </c>
      <c r="G188" t="n">
        <v>13</v>
      </c>
      <c r="H188" t="inlineStr">
        <is>
          <t>custom</t>
        </is>
      </c>
      <c r="I188" t="n">
        <v>10</v>
      </c>
      <c r="J188" t="n">
        <v>1</v>
      </c>
      <c r="K188" t="n">
        <v>0</v>
      </c>
      <c r="L188" t="n">
        <v>0</v>
      </c>
      <c r="M188" t="inlineStr">
        <is>
          <t>584b9f</t>
        </is>
      </c>
      <c r="N188" t="inlineStr">
        <is>
          <t>FFFFFF</t>
        </is>
      </c>
      <c r="O188" t="inlineStr">
        <is>
          <t>R</t>
        </is>
      </c>
      <c r="Q188" t="n">
        <v>5</v>
      </c>
      <c r="R188" t="b">
        <v>0</v>
      </c>
      <c r="S188" t="inlineStr">
        <is>
          <t xml:space="preserve"> </t>
        </is>
      </c>
      <c r="T188" t="n">
        <v>0</v>
      </c>
    </row>
    <row r="189">
      <c r="A189" t="inlineStr">
        <is>
          <t>indicator_header</t>
        </is>
      </c>
      <c r="B189" t="n">
        <v>69</v>
      </c>
      <c r="C189" t="inlineStr">
        <is>
          <t>T</t>
        </is>
      </c>
      <c r="D189" t="n">
        <v>14</v>
      </c>
      <c r="E189" t="n">
        <v>20</v>
      </c>
      <c r="F189" t="n">
        <v>196</v>
      </c>
      <c r="G189" t="n">
        <v>25</v>
      </c>
      <c r="H189" t="inlineStr">
        <is>
          <t>custom</t>
        </is>
      </c>
      <c r="I189" t="n">
        <v>14</v>
      </c>
      <c r="J189" t="n">
        <v>1</v>
      </c>
      <c r="K189" t="n">
        <v>0</v>
      </c>
      <c r="L189" t="n">
        <v>0</v>
      </c>
      <c r="N189" t="inlineStr">
        <is>
          <t>FFFFFF</t>
        </is>
      </c>
      <c r="O189" t="inlineStr">
        <is>
          <t>L</t>
        </is>
      </c>
      <c r="Q189" t="n">
        <v>2</v>
      </c>
      <c r="R189" t="b">
        <v>0</v>
      </c>
      <c r="S189" t="inlineStr">
        <is>
          <t xml:space="preserve"> </t>
        </is>
      </c>
      <c r="T189" t="n">
        <v>0</v>
      </c>
    </row>
    <row r="190">
      <c r="A190" t="inlineStr">
        <is>
          <t>indicator_description</t>
        </is>
      </c>
      <c r="B190" t="n">
        <v>69</v>
      </c>
      <c r="C190" t="inlineStr">
        <is>
          <t>T</t>
        </is>
      </c>
      <c r="D190" t="n">
        <v>14</v>
      </c>
      <c r="E190" t="n">
        <v>33</v>
      </c>
      <c r="F190" t="n">
        <v>196</v>
      </c>
      <c r="G190" t="n">
        <v>38</v>
      </c>
      <c r="H190" t="inlineStr">
        <is>
          <t>custom</t>
        </is>
      </c>
      <c r="I190" t="n">
        <v>12</v>
      </c>
      <c r="J190" t="n">
        <v>0</v>
      </c>
      <c r="K190" t="n">
        <v>0</v>
      </c>
      <c r="L190" t="n">
        <v>0</v>
      </c>
      <c r="N190" t="inlineStr">
        <is>
          <t>FFFFFF</t>
        </is>
      </c>
      <c r="O190" t="inlineStr">
        <is>
          <t>L</t>
        </is>
      </c>
      <c r="Q190" t="n">
        <v>2</v>
      </c>
      <c r="R190" t="b">
        <v>1</v>
      </c>
      <c r="S190" t="inlineStr">
        <is>
          <t xml:space="preserve"> </t>
        </is>
      </c>
      <c r="T190" t="n">
        <v>0</v>
      </c>
    </row>
    <row r="191">
      <c r="A191" t="inlineStr">
        <is>
          <t>indicator_map</t>
        </is>
      </c>
      <c r="B191" t="n">
        <v>69</v>
      </c>
      <c r="C191" t="inlineStr">
        <is>
          <t>I</t>
        </is>
      </c>
      <c r="D191" t="n">
        <v>14</v>
      </c>
      <c r="E191" t="n">
        <v>80</v>
      </c>
      <c r="F191" t="n">
        <v>196</v>
      </c>
      <c r="G191" t="n">
        <v>245</v>
      </c>
      <c r="I191" t="n">
        <v>0</v>
      </c>
      <c r="J191" t="n">
        <v>0</v>
      </c>
      <c r="K191" t="n">
        <v>0</v>
      </c>
      <c r="L191" t="n">
        <v>0</v>
      </c>
      <c r="N191" t="inlineStr">
        <is>
          <t>FFFFFF</t>
        </is>
      </c>
      <c r="O191" t="inlineStr">
        <is>
          <t>L</t>
        </is>
      </c>
      <c r="Q191" t="n">
        <v>2</v>
      </c>
      <c r="R191" t="b">
        <v>0</v>
      </c>
      <c r="S191" t="inlineStr">
        <is>
          <t xml:space="preserve"> </t>
        </is>
      </c>
      <c r="T191" t="n">
        <v>0</v>
      </c>
    </row>
    <row r="192">
      <c r="A192" t="inlineStr">
        <is>
          <t>indicator_label</t>
        </is>
      </c>
      <c r="B192" t="n">
        <v>69</v>
      </c>
      <c r="C192" t="inlineStr">
        <is>
          <t>T</t>
        </is>
      </c>
      <c r="D192" t="n">
        <v>30</v>
      </c>
      <c r="E192" t="n">
        <v>253</v>
      </c>
      <c r="F192" t="n">
        <v>180</v>
      </c>
      <c r="G192" t="n">
        <v>261</v>
      </c>
      <c r="H192" t="inlineStr">
        <is>
          <t>custom</t>
        </is>
      </c>
      <c r="I192" t="n">
        <v>16</v>
      </c>
      <c r="J192" t="n">
        <v>0</v>
      </c>
      <c r="K192" t="n">
        <v>0</v>
      </c>
      <c r="L192" t="n">
        <v>0</v>
      </c>
      <c r="M192" t="inlineStr">
        <is>
          <t>584b9f</t>
        </is>
      </c>
      <c r="N192" t="inlineStr">
        <is>
          <t>FFFFFF</t>
        </is>
      </c>
      <c r="O192" t="inlineStr">
        <is>
          <t>C</t>
        </is>
      </c>
      <c r="Q192" t="n">
        <v>2</v>
      </c>
      <c r="R192" t="b">
        <v>1</v>
      </c>
      <c r="S192" t="inlineStr">
        <is>
          <t xml:space="preserve"> </t>
        </is>
      </c>
      <c r="T192" t="n">
        <v>0</v>
      </c>
    </row>
    <row r="193">
      <c r="A193" t="inlineStr">
        <is>
          <t>indicator_header</t>
        </is>
      </c>
      <c r="B193" t="n">
        <v>70</v>
      </c>
      <c r="C193" t="inlineStr">
        <is>
          <t>T</t>
        </is>
      </c>
      <c r="D193" t="n">
        <v>14</v>
      </c>
      <c r="E193" t="n">
        <v>20</v>
      </c>
      <c r="F193" t="n">
        <v>196</v>
      </c>
      <c r="G193" t="n">
        <v>25</v>
      </c>
      <c r="H193" t="inlineStr">
        <is>
          <t>custom</t>
        </is>
      </c>
      <c r="I193" t="n">
        <v>14</v>
      </c>
      <c r="J193" t="n">
        <v>1</v>
      </c>
      <c r="K193" t="n">
        <v>0</v>
      </c>
      <c r="L193" t="n">
        <v>0</v>
      </c>
      <c r="N193" t="inlineStr">
        <is>
          <t>FFFFFF</t>
        </is>
      </c>
      <c r="O193" t="inlineStr">
        <is>
          <t>L</t>
        </is>
      </c>
      <c r="Q193" t="n">
        <v>3</v>
      </c>
      <c r="R193" t="b">
        <v>1</v>
      </c>
      <c r="S193" t="inlineStr">
        <is>
          <t xml:space="preserve"> </t>
        </is>
      </c>
      <c r="T193" t="n">
        <v>0</v>
      </c>
    </row>
    <row r="194">
      <c r="A194" t="inlineStr">
        <is>
          <t>walkability_description</t>
        </is>
      </c>
      <c r="B194" t="n">
        <v>70</v>
      </c>
      <c r="C194" t="inlineStr">
        <is>
          <t>T</t>
        </is>
      </c>
      <c r="D194" t="n">
        <v>14</v>
      </c>
      <c r="E194" t="n">
        <v>33</v>
      </c>
      <c r="F194" t="n">
        <v>180</v>
      </c>
      <c r="G194" t="n">
        <v>38</v>
      </c>
      <c r="H194" t="inlineStr">
        <is>
          <t>custom</t>
        </is>
      </c>
      <c r="I194" t="n">
        <v>12</v>
      </c>
      <c r="J194" t="n">
        <v>0</v>
      </c>
      <c r="K194" t="n">
        <v>0</v>
      </c>
      <c r="L194" t="n">
        <v>0</v>
      </c>
      <c r="N194" t="inlineStr">
        <is>
          <t>FFFFFF</t>
        </is>
      </c>
      <c r="O194" t="inlineStr">
        <is>
          <t>L</t>
        </is>
      </c>
      <c r="Q194" t="n">
        <v>1</v>
      </c>
      <c r="R194" t="b">
        <v>1</v>
      </c>
      <c r="S194" t="inlineStr">
        <is>
          <t xml:space="preserve"> </t>
        </is>
      </c>
      <c r="T194" t="n">
        <v>0</v>
      </c>
    </row>
    <row r="195">
      <c r="A195" t="inlineStr">
        <is>
          <t>Neighbourhood walkability relative to 25 cities internationally</t>
        </is>
      </c>
      <c r="B195" t="n">
        <v>70</v>
      </c>
      <c r="C195" t="inlineStr">
        <is>
          <t>T</t>
        </is>
      </c>
      <c r="D195" t="n">
        <v>14</v>
      </c>
      <c r="E195" t="n">
        <v>85</v>
      </c>
      <c r="F195" t="n">
        <v>205</v>
      </c>
      <c r="G195" t="n">
        <v>90</v>
      </c>
      <c r="H195" t="inlineStr">
        <is>
          <t>custom</t>
        </is>
      </c>
      <c r="I195" t="n">
        <v>12</v>
      </c>
      <c r="J195" t="n">
        <v>1</v>
      </c>
      <c r="K195" t="n">
        <v>0</v>
      </c>
      <c r="L195" t="n">
        <v>0</v>
      </c>
      <c r="N195" t="inlineStr">
        <is>
          <t>FFFFFF</t>
        </is>
      </c>
      <c r="O195" t="inlineStr">
        <is>
          <t>L</t>
        </is>
      </c>
      <c r="Q195" t="n">
        <v>3</v>
      </c>
      <c r="R195" t="b">
        <v>1</v>
      </c>
      <c r="S195" t="inlineStr">
        <is>
          <t xml:space="preserve"> </t>
        </is>
      </c>
      <c r="T195" t="n">
        <v>0</v>
      </c>
    </row>
    <row r="196">
      <c r="A196" t="inlineStr">
        <is>
          <t>all_cities_walkability</t>
        </is>
      </c>
      <c r="B196" t="n">
        <v>70</v>
      </c>
      <c r="C196" t="inlineStr">
        <is>
          <t>I</t>
        </is>
      </c>
      <c r="D196" t="n">
        <v>20</v>
      </c>
      <c r="E196" t="n">
        <v>94</v>
      </c>
      <c r="F196" t="n">
        <v>190</v>
      </c>
      <c r="G196" t="n">
        <v>248</v>
      </c>
      <c r="I196" t="n">
        <v>0</v>
      </c>
      <c r="J196" t="n">
        <v>0</v>
      </c>
      <c r="K196" t="n">
        <v>0</v>
      </c>
      <c r="L196" t="n">
        <v>0</v>
      </c>
      <c r="N196" t="inlineStr">
        <is>
          <t>FFFFFF</t>
        </is>
      </c>
      <c r="O196" t="inlineStr">
        <is>
          <t>L</t>
        </is>
      </c>
      <c r="Q196" t="n">
        <v>2</v>
      </c>
      <c r="R196" t="b">
        <v>0</v>
      </c>
      <c r="S196" t="inlineStr">
        <is>
          <t xml:space="preserve"> </t>
        </is>
      </c>
      <c r="T196" t="n">
        <v>0</v>
      </c>
    </row>
    <row r="197">
      <c r="A197" t="inlineStr">
        <is>
          <t>walkability_above_median_pct</t>
        </is>
      </c>
      <c r="B197" t="n">
        <v>70</v>
      </c>
      <c r="C197" t="inlineStr">
        <is>
          <t>T</t>
        </is>
      </c>
      <c r="D197" t="n">
        <v>14</v>
      </c>
      <c r="E197" t="n">
        <v>252</v>
      </c>
      <c r="F197" t="n">
        <v>180</v>
      </c>
      <c r="G197" t="n">
        <v>260</v>
      </c>
      <c r="H197" t="inlineStr">
        <is>
          <t>custom</t>
        </is>
      </c>
      <c r="I197" t="n">
        <v>14</v>
      </c>
      <c r="J197" t="n">
        <v>0</v>
      </c>
      <c r="K197" t="n">
        <v>0</v>
      </c>
      <c r="L197" t="n">
        <v>0</v>
      </c>
      <c r="M197" t="inlineStr">
        <is>
          <t>584b9f</t>
        </is>
      </c>
      <c r="N197" t="inlineStr">
        <is>
          <t>FFFFFF</t>
        </is>
      </c>
      <c r="O197" t="inlineStr">
        <is>
          <t>C</t>
        </is>
      </c>
      <c r="Q197" t="n">
        <v>3</v>
      </c>
      <c r="R197" t="b">
        <v>1</v>
      </c>
      <c r="S197" t="inlineStr">
        <is>
          <t xml:space="preserve"> </t>
        </is>
      </c>
      <c r="T197" t="n">
        <v>0</v>
      </c>
    </row>
    <row r="198">
      <c r="A198" t="inlineStr">
        <is>
          <t>population_caption</t>
        </is>
      </c>
      <c r="B198" t="n">
        <v>70</v>
      </c>
      <c r="C198" t="inlineStr">
        <is>
          <t>T</t>
        </is>
      </c>
      <c r="D198" t="n">
        <v>14</v>
      </c>
      <c r="E198" t="n">
        <v>278</v>
      </c>
      <c r="F198" t="n">
        <v>181</v>
      </c>
      <c r="G198" t="n">
        <v>283</v>
      </c>
      <c r="H198" t="inlineStr">
        <is>
          <t>custom</t>
        </is>
      </c>
      <c r="I198" t="n">
        <v>8</v>
      </c>
      <c r="J198" t="n">
        <v>0</v>
      </c>
      <c r="K198" t="n">
        <v>0</v>
      </c>
      <c r="L198" t="n">
        <v>0</v>
      </c>
      <c r="M198" t="inlineStr">
        <is>
          <t>584b9f</t>
        </is>
      </c>
      <c r="N198" t="inlineStr">
        <is>
          <t>FFFFFF</t>
        </is>
      </c>
      <c r="O198" t="inlineStr">
        <is>
          <t>L</t>
        </is>
      </c>
      <c r="Q198" t="n">
        <v>3</v>
      </c>
      <c r="R198" t="b">
        <v>1</v>
      </c>
      <c r="T198" t="n">
        <v>0</v>
      </c>
    </row>
    <row r="199">
      <c r="A199" t="inlineStr">
        <is>
          <t>title_city</t>
        </is>
      </c>
      <c r="B199" t="n">
        <v>71</v>
      </c>
      <c r="C199" t="inlineStr">
        <is>
          <t>T</t>
        </is>
      </c>
      <c r="D199" t="n">
        <v>0</v>
      </c>
      <c r="E199" t="n">
        <v>10</v>
      </c>
      <c r="F199" t="n">
        <v>200</v>
      </c>
      <c r="G199" t="n">
        <v>13</v>
      </c>
      <c r="H199" t="inlineStr">
        <is>
          <t>custom</t>
        </is>
      </c>
      <c r="I199" t="n">
        <v>10</v>
      </c>
      <c r="J199" t="n">
        <v>1</v>
      </c>
      <c r="K199" t="n">
        <v>0</v>
      </c>
      <c r="L199" t="n">
        <v>0</v>
      </c>
      <c r="M199" t="inlineStr">
        <is>
          <t>584b9f</t>
        </is>
      </c>
      <c r="N199" t="inlineStr">
        <is>
          <t>FFFFFF</t>
        </is>
      </c>
      <c r="O199" t="inlineStr">
        <is>
          <t>R</t>
        </is>
      </c>
      <c r="Q199" t="n">
        <v>5</v>
      </c>
      <c r="R199" t="b">
        <v>0</v>
      </c>
      <c r="S199" t="inlineStr">
        <is>
          <t xml:space="preserve"> </t>
        </is>
      </c>
      <c r="T199" t="n">
        <v>0</v>
      </c>
    </row>
    <row r="200">
      <c r="A200" t="inlineStr">
        <is>
          <t>indicator_header</t>
        </is>
      </c>
      <c r="B200" t="n">
        <v>71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xml:space="preserve"> </t>
        </is>
      </c>
      <c r="T200" t="n">
        <v>0</v>
      </c>
    </row>
    <row r="201">
      <c r="A201" t="inlineStr">
        <is>
          <t>indicator_description</t>
        </is>
      </c>
      <c r="B201" t="n">
        <v>71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Q201" t="n">
        <v>2</v>
      </c>
      <c r="R201" t="b">
        <v>1</v>
      </c>
      <c r="S201" t="inlineStr">
        <is>
          <t xml:space="preserve"> </t>
        </is>
      </c>
      <c r="T201" t="n">
        <v>0</v>
      </c>
    </row>
    <row r="202">
      <c r="A202" t="inlineStr">
        <is>
          <t>indicator_map</t>
        </is>
      </c>
      <c r="B202" t="n">
        <v>71</v>
      </c>
      <c r="C202" t="inlineStr">
        <is>
          <t>I</t>
        </is>
      </c>
      <c r="D202" t="n">
        <v>14</v>
      </c>
      <c r="E202" t="n">
        <v>80</v>
      </c>
      <c r="F202" t="n">
        <v>196</v>
      </c>
      <c r="G202" t="n">
        <v>245</v>
      </c>
      <c r="I202" t="n">
        <v>0</v>
      </c>
      <c r="J202" t="n">
        <v>0</v>
      </c>
      <c r="K202" t="n">
        <v>0</v>
      </c>
      <c r="L202" t="n">
        <v>0</v>
      </c>
      <c r="N202" t="inlineStr">
        <is>
          <t>FFFFFF</t>
        </is>
      </c>
      <c r="O202" t="inlineStr">
        <is>
          <t>L</t>
        </is>
      </c>
      <c r="Q202" t="n">
        <v>2</v>
      </c>
      <c r="R202" t="b">
        <v>0</v>
      </c>
      <c r="S202" t="inlineStr">
        <is>
          <t xml:space="preserve"> </t>
        </is>
      </c>
      <c r="T202" t="n">
        <v>0</v>
      </c>
    </row>
    <row r="203">
      <c r="A203" t="inlineStr">
        <is>
          <t>indicator_label</t>
        </is>
      </c>
      <c r="B203" t="n">
        <v>71</v>
      </c>
      <c r="C203" t="inlineStr">
        <is>
          <t>T</t>
        </is>
      </c>
      <c r="D203" t="n">
        <v>30</v>
      </c>
      <c r="E203" t="n">
        <v>253</v>
      </c>
      <c r="F203" t="n">
        <v>180</v>
      </c>
      <c r="G203" t="n">
        <v>261</v>
      </c>
      <c r="H203" t="inlineStr">
        <is>
          <t>custom</t>
        </is>
      </c>
      <c r="I203" t="n">
        <v>16</v>
      </c>
      <c r="J203" t="n">
        <v>0</v>
      </c>
      <c r="K203" t="n">
        <v>0</v>
      </c>
      <c r="L203" t="n">
        <v>0</v>
      </c>
      <c r="M203" t="inlineStr">
        <is>
          <t>584b9f</t>
        </is>
      </c>
      <c r="N203" t="inlineStr">
        <is>
          <t>FFFFFF</t>
        </is>
      </c>
      <c r="O203" t="inlineStr">
        <is>
          <t>C</t>
        </is>
      </c>
      <c r="Q203" t="n">
        <v>2</v>
      </c>
      <c r="R203" t="b">
        <v>1</v>
      </c>
      <c r="S203" t="inlineStr">
        <is>
          <t xml:space="preserve"> </t>
        </is>
      </c>
      <c r="T203" t="n">
        <v>0</v>
      </c>
    </row>
    <row r="204">
      <c r="A204" t="inlineStr">
        <is>
          <t>title_city</t>
        </is>
      </c>
      <c r="B204" t="n">
        <v>72</v>
      </c>
      <c r="C204" t="inlineStr">
        <is>
          <t>T</t>
        </is>
      </c>
      <c r="D204" t="n">
        <v>0</v>
      </c>
      <c r="E204" t="n">
        <v>10</v>
      </c>
      <c r="F204" t="n">
        <v>200</v>
      </c>
      <c r="G204" t="n">
        <v>13</v>
      </c>
      <c r="H204" t="inlineStr">
        <is>
          <t>custom</t>
        </is>
      </c>
      <c r="I204" t="n">
        <v>10</v>
      </c>
      <c r="J204" t="n">
        <v>1</v>
      </c>
      <c r="K204" t="n">
        <v>0</v>
      </c>
      <c r="L204" t="n">
        <v>0</v>
      </c>
      <c r="M204" t="inlineStr">
        <is>
          <t>584b9f</t>
        </is>
      </c>
      <c r="N204" t="inlineStr">
        <is>
          <t>FFFFFF</t>
        </is>
      </c>
      <c r="O204" t="inlineStr">
        <is>
          <t>R</t>
        </is>
      </c>
      <c r="Q204" t="n">
        <v>5</v>
      </c>
      <c r="R204" t="b">
        <v>0</v>
      </c>
      <c r="S204" t="inlineStr">
        <is>
          <t xml:space="preserve"> </t>
        </is>
      </c>
      <c r="T204" t="n">
        <v>0</v>
      </c>
    </row>
    <row r="205">
      <c r="A205" t="inlineStr">
        <is>
          <t>indicator_header</t>
        </is>
      </c>
      <c r="B205" t="n">
        <v>72</v>
      </c>
      <c r="C205" t="inlineStr">
        <is>
          <t>T</t>
        </is>
      </c>
      <c r="D205" t="n">
        <v>14</v>
      </c>
      <c r="E205" t="n">
        <v>20</v>
      </c>
      <c r="F205" t="n">
        <v>196</v>
      </c>
      <c r="G205" t="n">
        <v>25</v>
      </c>
      <c r="H205" t="inlineStr">
        <is>
          <t>custom</t>
        </is>
      </c>
      <c r="I205" t="n">
        <v>14</v>
      </c>
      <c r="J205" t="n">
        <v>1</v>
      </c>
      <c r="K205" t="n">
        <v>0</v>
      </c>
      <c r="L205" t="n">
        <v>0</v>
      </c>
      <c r="N205" t="inlineStr">
        <is>
          <t>FFFFFF</t>
        </is>
      </c>
      <c r="O205" t="inlineStr">
        <is>
          <t>L</t>
        </is>
      </c>
      <c r="Q205" t="n">
        <v>2</v>
      </c>
      <c r="R205" t="b">
        <v>0</v>
      </c>
      <c r="S205" t="inlineStr">
        <is>
          <t xml:space="preserve"> </t>
        </is>
      </c>
      <c r="T205" t="n">
        <v>0</v>
      </c>
    </row>
    <row r="206">
      <c r="A206" t="inlineStr">
        <is>
          <t>indicator_description</t>
        </is>
      </c>
      <c r="B206" t="n">
        <v>72</v>
      </c>
      <c r="C206" t="inlineStr">
        <is>
          <t>T</t>
        </is>
      </c>
      <c r="D206" t="n">
        <v>14</v>
      </c>
      <c r="E206" t="n">
        <v>33</v>
      </c>
      <c r="F206" t="n">
        <v>196</v>
      </c>
      <c r="G206" t="n">
        <v>38</v>
      </c>
      <c r="H206" t="inlineStr">
        <is>
          <t>custom</t>
        </is>
      </c>
      <c r="I206" t="n">
        <v>12</v>
      </c>
      <c r="J206" t="n">
        <v>0</v>
      </c>
      <c r="K206" t="n">
        <v>0</v>
      </c>
      <c r="L206" t="n">
        <v>0</v>
      </c>
      <c r="N206" t="inlineStr">
        <is>
          <t>FFFFFF</t>
        </is>
      </c>
      <c r="O206" t="inlineStr">
        <is>
          <t>L</t>
        </is>
      </c>
      <c r="Q206" t="n">
        <v>2</v>
      </c>
      <c r="R206" t="b">
        <v>1</v>
      </c>
      <c r="S206" t="inlineStr">
        <is>
          <t xml:space="preserve"> </t>
        </is>
      </c>
      <c r="T206" t="n">
        <v>0</v>
      </c>
    </row>
    <row r="207">
      <c r="A207" t="inlineStr">
        <is>
          <t>indicator_map</t>
        </is>
      </c>
      <c r="B207" t="n">
        <v>72</v>
      </c>
      <c r="C207" t="inlineStr">
        <is>
          <t>I</t>
        </is>
      </c>
      <c r="D207" t="n">
        <v>14</v>
      </c>
      <c r="E207" t="n">
        <v>80</v>
      </c>
      <c r="F207" t="n">
        <v>196</v>
      </c>
      <c r="G207" t="n">
        <v>245</v>
      </c>
      <c r="I207" t="n">
        <v>0</v>
      </c>
      <c r="J207" t="n">
        <v>0</v>
      </c>
      <c r="K207" t="n">
        <v>0</v>
      </c>
      <c r="L207" t="n">
        <v>0</v>
      </c>
      <c r="N207" t="inlineStr">
        <is>
          <t>FFFFFF</t>
        </is>
      </c>
      <c r="O207" t="inlineStr">
        <is>
          <t>L</t>
        </is>
      </c>
      <c r="Q207" t="n">
        <v>2</v>
      </c>
      <c r="R207" t="b">
        <v>0</v>
      </c>
      <c r="S207" t="inlineStr">
        <is>
          <t xml:space="preserve"> </t>
        </is>
      </c>
      <c r="T207" t="n">
        <v>0</v>
      </c>
    </row>
    <row r="208">
      <c r="A208" t="inlineStr">
        <is>
          <t>indicator_label</t>
        </is>
      </c>
      <c r="B208" t="n">
        <v>72</v>
      </c>
      <c r="C208" t="inlineStr">
        <is>
          <t>T</t>
        </is>
      </c>
      <c r="D208" t="n">
        <v>30</v>
      </c>
      <c r="E208" t="n">
        <v>253</v>
      </c>
      <c r="F208" t="n">
        <v>180</v>
      </c>
      <c r="G208" t="n">
        <v>261</v>
      </c>
      <c r="H208" t="inlineStr">
        <is>
          <t>custom</t>
        </is>
      </c>
      <c r="I208" t="n">
        <v>16</v>
      </c>
      <c r="J208" t="n">
        <v>0</v>
      </c>
      <c r="K208" t="n">
        <v>0</v>
      </c>
      <c r="L208" t="n">
        <v>0</v>
      </c>
      <c r="M208" t="inlineStr">
        <is>
          <t>584b9f</t>
        </is>
      </c>
      <c r="N208" t="inlineStr">
        <is>
          <t>FFFFFF</t>
        </is>
      </c>
      <c r="O208" t="inlineStr">
        <is>
          <t>C</t>
        </is>
      </c>
      <c r="Q208" t="n">
        <v>2</v>
      </c>
      <c r="R208" t="b">
        <v>1</v>
      </c>
      <c r="S208" t="inlineStr">
        <is>
          <t xml:space="preserve"> </t>
        </is>
      </c>
      <c r="T208" t="n">
        <v>0</v>
      </c>
    </row>
  </sheetData>
  <autoFilter ref="A1:T48"/>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T27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7.1406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2</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200</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ht="15.75" customHeight="1">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blue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b9c4ce</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b9c4ce</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b9c4ce</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b9c4ce</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b9c4ce</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b9c4ce</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b9c4ce</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xml:space="preserve">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region_box</t>
        </is>
      </c>
      <c r="B36" t="n">
        <v>-999</v>
      </c>
      <c r="C36" t="inlineStr">
        <is>
          <t>B</t>
        </is>
      </c>
      <c r="D36" t="n">
        <v>13</v>
      </c>
      <c r="E36" t="n">
        <v>90</v>
      </c>
      <c r="F36" t="n">
        <v>210</v>
      </c>
      <c r="G36" t="n">
        <v>82</v>
      </c>
      <c r="I36" t="n">
        <v>0</v>
      </c>
      <c r="J36" t="n">
        <v>1</v>
      </c>
      <c r="K36" t="n">
        <v>0</v>
      </c>
      <c r="L36" t="n">
        <v>0</v>
      </c>
      <c r="N36" t="inlineStr">
        <is>
          <t>FFFFFF</t>
        </is>
      </c>
      <c r="O36" t="inlineStr">
        <is>
          <t>L</t>
        </is>
      </c>
      <c r="Q36" t="n">
        <v>0</v>
      </c>
      <c r="R36" t="b">
        <v>0</v>
      </c>
      <c r="S36" t="inlineStr">
        <is>
          <t xml:space="preserve"> </t>
        </is>
      </c>
      <c r="T36" t="n">
        <v>0</v>
      </c>
    </row>
    <row r="37">
      <c r="A37" t="inlineStr">
        <is>
          <t>City context</t>
        </is>
      </c>
      <c r="B37" t="n">
        <v>3</v>
      </c>
      <c r="C37" t="inlineStr">
        <is>
          <t>T</t>
        </is>
      </c>
      <c r="D37" t="n">
        <v>14</v>
      </c>
      <c r="E37" t="n">
        <v>81</v>
      </c>
      <c r="F37" t="n">
        <v>196</v>
      </c>
      <c r="G37" t="n">
        <v>86</v>
      </c>
      <c r="H37" t="inlineStr">
        <is>
          <t>custom</t>
        </is>
      </c>
      <c r="I37" t="n">
        <v>14</v>
      </c>
      <c r="J37" t="n">
        <v>1</v>
      </c>
      <c r="K37" t="n">
        <v>0</v>
      </c>
      <c r="L37" t="n">
        <v>0</v>
      </c>
      <c r="N37" t="inlineStr">
        <is>
          <t>FFFFFF</t>
        </is>
      </c>
      <c r="O37" t="inlineStr">
        <is>
          <t>L</t>
        </is>
      </c>
      <c r="Q37" t="n">
        <v>3</v>
      </c>
      <c r="R37" t="b">
        <v>1</v>
      </c>
      <c r="S37" t="inlineStr">
        <is>
          <t xml:space="preserve"> </t>
        </is>
      </c>
      <c r="T37" t="n">
        <v>0</v>
      </c>
    </row>
    <row r="38">
      <c r="A38" t="inlineStr">
        <is>
          <t>City context blurb</t>
        </is>
      </c>
      <c r="B38" t="n">
        <v>3</v>
      </c>
      <c r="C38" t="inlineStr">
        <is>
          <t>T</t>
        </is>
      </c>
      <c r="D38" t="n">
        <v>14</v>
      </c>
      <c r="E38" t="n">
        <v>90</v>
      </c>
      <c r="F38" t="n">
        <v>196</v>
      </c>
      <c r="G38" t="n">
        <v>95</v>
      </c>
      <c r="H38" t="inlineStr">
        <is>
          <t>custom</t>
        </is>
      </c>
      <c r="I38" t="n">
        <v>12</v>
      </c>
      <c r="J38" t="n">
        <v>0</v>
      </c>
      <c r="K38" t="n">
        <v>0</v>
      </c>
      <c r="L38" t="n">
        <v>0</v>
      </c>
      <c r="N38" t="inlineStr">
        <is>
          <t>FFFFFF</t>
        </is>
      </c>
      <c r="O38" t="inlineStr">
        <is>
          <t>L</t>
        </is>
      </c>
      <c r="Q38" t="n">
        <v>3</v>
      </c>
      <c r="R38" t="b">
        <v>1</v>
      </c>
      <c r="S38" t="inlineStr">
        <is>
          <t xml:space="preserve"> </t>
        </is>
      </c>
      <c r="T38" t="n">
        <v>0</v>
      </c>
    </row>
    <row r="39">
      <c r="A39" t="inlineStr">
        <is>
          <t>Levels of government</t>
        </is>
      </c>
      <c r="B39" t="n">
        <v>3</v>
      </c>
      <c r="C39" t="inlineStr">
        <is>
          <t>T</t>
        </is>
      </c>
      <c r="D39" t="n">
        <v>14</v>
      </c>
      <c r="E39" t="n">
        <v>121</v>
      </c>
      <c r="F39" t="n">
        <v>196</v>
      </c>
      <c r="G39" t="n">
        <v>126</v>
      </c>
      <c r="H39" t="inlineStr">
        <is>
          <t>custom</t>
        </is>
      </c>
      <c r="I39" t="n">
        <v>12</v>
      </c>
      <c r="J39" t="n">
        <v>1</v>
      </c>
      <c r="K39" t="n">
        <v>0</v>
      </c>
      <c r="L39" t="n">
        <v>0</v>
      </c>
      <c r="N39" t="inlineStr">
        <is>
          <t>FFFFFF</t>
        </is>
      </c>
      <c r="O39" t="inlineStr">
        <is>
          <t>L</t>
        </is>
      </c>
      <c r="Q39" t="n">
        <v>3</v>
      </c>
      <c r="R39" t="b">
        <v>1</v>
      </c>
      <c r="S39" t="inlineStr">
        <is>
          <t xml:space="preserve"> </t>
        </is>
      </c>
      <c r="T39" t="n">
        <v>0</v>
      </c>
    </row>
    <row r="40">
      <c r="A40" t="inlineStr">
        <is>
          <t>levels of government blurb</t>
        </is>
      </c>
      <c r="B40" t="n">
        <v>3</v>
      </c>
      <c r="C40" t="inlineStr">
        <is>
          <t>T</t>
        </is>
      </c>
      <c r="D40" t="n">
        <v>14</v>
      </c>
      <c r="E40" t="n">
        <v>130</v>
      </c>
      <c r="F40" t="n">
        <v>196</v>
      </c>
      <c r="G40" t="n">
        <v>135</v>
      </c>
      <c r="H40" t="inlineStr">
        <is>
          <t>custom</t>
        </is>
      </c>
      <c r="I40" t="n">
        <v>12</v>
      </c>
      <c r="J40" t="n">
        <v>0</v>
      </c>
      <c r="K40" t="n">
        <v>0</v>
      </c>
      <c r="L40" t="n">
        <v>0</v>
      </c>
      <c r="N40" t="inlineStr">
        <is>
          <t>FFFFFF</t>
        </is>
      </c>
      <c r="O40" t="inlineStr">
        <is>
          <t>L</t>
        </is>
      </c>
      <c r="Q40" t="n">
        <v>3</v>
      </c>
      <c r="R40" t="b">
        <v>1</v>
      </c>
      <c r="S40" t="inlineStr">
        <is>
          <t xml:space="preserve"> </t>
        </is>
      </c>
      <c r="T40" t="n">
        <v>0</v>
      </c>
    </row>
    <row r="41">
      <c r="A41" t="inlineStr">
        <is>
          <t>Demographics and health equity</t>
        </is>
      </c>
      <c r="B41" t="n">
        <v>3</v>
      </c>
      <c r="C41" t="inlineStr">
        <is>
          <t>T</t>
        </is>
      </c>
      <c r="D41" t="n">
        <v>14</v>
      </c>
      <c r="E41" t="n">
        <v>147</v>
      </c>
      <c r="F41" t="n">
        <v>196</v>
      </c>
      <c r="G41" t="n">
        <v>152</v>
      </c>
      <c r="H41" t="inlineStr">
        <is>
          <t>custom</t>
        </is>
      </c>
      <c r="I41" t="n">
        <v>12</v>
      </c>
      <c r="J41" t="n">
        <v>1</v>
      </c>
      <c r="K41" t="n">
        <v>0</v>
      </c>
      <c r="L41" t="n">
        <v>0</v>
      </c>
      <c r="N41" t="inlineStr">
        <is>
          <t>FFFFFF</t>
        </is>
      </c>
      <c r="O41" t="inlineStr">
        <is>
          <t>L</t>
        </is>
      </c>
      <c r="Q41" t="n">
        <v>3</v>
      </c>
      <c r="R41" t="b">
        <v>1</v>
      </c>
      <c r="S41" t="inlineStr">
        <is>
          <t xml:space="preserve"> </t>
        </is>
      </c>
      <c r="T41" t="n">
        <v>0</v>
      </c>
    </row>
    <row r="42">
      <c r="A42" t="inlineStr">
        <is>
          <t>Demographics and health equity blurb</t>
        </is>
      </c>
      <c r="B42" t="n">
        <v>3</v>
      </c>
      <c r="C42" t="inlineStr">
        <is>
          <t>T</t>
        </is>
      </c>
      <c r="D42" t="n">
        <v>14</v>
      </c>
      <c r="E42" t="n">
        <v>156</v>
      </c>
      <c r="F42" t="n">
        <v>196</v>
      </c>
      <c r="G42" t="n">
        <v>161</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Environmental disaster context</t>
        </is>
      </c>
      <c r="B43" t="n">
        <v>3</v>
      </c>
      <c r="C43" t="inlineStr">
        <is>
          <t>T</t>
        </is>
      </c>
      <c r="D43" t="n">
        <v>14</v>
      </c>
      <c r="E43" t="n">
        <v>189</v>
      </c>
      <c r="F43" t="n">
        <v>196</v>
      </c>
      <c r="G43" t="n">
        <v>194</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Environmental disaster context blurb</t>
        </is>
      </c>
      <c r="B44" t="n">
        <v>3</v>
      </c>
      <c r="C44" t="inlineStr">
        <is>
          <t>T</t>
        </is>
      </c>
      <c r="D44" t="n">
        <v>14</v>
      </c>
      <c r="E44" t="n">
        <v>198</v>
      </c>
      <c r="F44" t="n">
        <v>196</v>
      </c>
      <c r="G44" t="n">
        <v>203</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policy indicators</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xml:space="preserve"> </t>
        </is>
      </c>
      <c r="T45" t="n">
        <v>0</v>
      </c>
    </row>
    <row r="46">
      <c r="A46" t="inlineStr">
        <is>
          <t>policy_evaluation_text</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presence box</t>
        </is>
      </c>
      <c r="B47" t="n">
        <v>4</v>
      </c>
      <c r="C47" t="inlineStr">
        <is>
          <t>B</t>
        </is>
      </c>
      <c r="D47" t="n">
        <v>30</v>
      </c>
      <c r="E47" t="n">
        <v>85</v>
      </c>
      <c r="F47" t="n">
        <v>170</v>
      </c>
      <c r="G47" t="n">
        <v>152</v>
      </c>
      <c r="I47" t="n">
        <v>0</v>
      </c>
      <c r="J47" t="n">
        <v>1</v>
      </c>
      <c r="K47" t="n">
        <v>0</v>
      </c>
      <c r="L47" t="n">
        <v>0</v>
      </c>
      <c r="M47" t="inlineStr">
        <is>
          <t>eceaf8</t>
        </is>
      </c>
      <c r="N47" t="inlineStr">
        <is>
          <t>eceaf8</t>
        </is>
      </c>
      <c r="O47" t="inlineStr">
        <is>
          <t>L</t>
        </is>
      </c>
      <c r="Q47" t="n">
        <v>1</v>
      </c>
      <c r="R47" t="b">
        <v>0</v>
      </c>
      <c r="S47" t="inlineStr">
        <is>
          <t xml:space="preserve"> </t>
        </is>
      </c>
      <c r="T47" t="n">
        <v>0</v>
      </c>
    </row>
    <row r="48">
      <c r="A48" t="inlineStr">
        <is>
          <t>presence_text</t>
        </is>
      </c>
      <c r="B48" t="n">
        <v>4</v>
      </c>
      <c r="C48" t="inlineStr">
        <is>
          <t>T</t>
        </is>
      </c>
      <c r="D48" t="n">
        <v>40</v>
      </c>
      <c r="E48" t="n">
        <v>93</v>
      </c>
      <c r="F48" t="n">
        <v>160</v>
      </c>
      <c r="G48" t="n">
        <v>98</v>
      </c>
      <c r="H48" t="inlineStr">
        <is>
          <t>custom</t>
        </is>
      </c>
      <c r="I48" t="n">
        <v>16</v>
      </c>
      <c r="J48" t="n">
        <v>1</v>
      </c>
      <c r="K48" t="n">
        <v>0</v>
      </c>
      <c r="L48" t="n">
        <v>0</v>
      </c>
      <c r="N48" t="inlineStr">
        <is>
          <t>eceaf8</t>
        </is>
      </c>
      <c r="O48" t="inlineStr">
        <is>
          <t>C</t>
        </is>
      </c>
      <c r="Q48" t="n">
        <v>3</v>
      </c>
      <c r="R48" t="b">
        <v>1</v>
      </c>
      <c r="S48" t="inlineStr">
        <is>
          <t xml:space="preserve"> </t>
        </is>
      </c>
      <c r="T48" t="n">
        <v>0</v>
      </c>
    </row>
    <row r="49">
      <c r="A49" t="inlineStr">
        <is>
          <t>presence_description</t>
        </is>
      </c>
      <c r="B49" t="n">
        <v>4</v>
      </c>
      <c r="C49" t="inlineStr">
        <is>
          <t>T</t>
        </is>
      </c>
      <c r="D49" t="n">
        <v>40</v>
      </c>
      <c r="E49" t="n">
        <v>106</v>
      </c>
      <c r="F49" t="n">
        <v>160</v>
      </c>
      <c r="G49" t="n">
        <v>114</v>
      </c>
      <c r="H49" t="inlineStr">
        <is>
          <t>custom</t>
        </is>
      </c>
      <c r="I49" t="n">
        <v>16</v>
      </c>
      <c r="J49" t="n">
        <v>0</v>
      </c>
      <c r="K49" t="n">
        <v>1</v>
      </c>
      <c r="L49" t="n">
        <v>0</v>
      </c>
      <c r="N49" t="inlineStr">
        <is>
          <t>eceaf8</t>
        </is>
      </c>
      <c r="O49" t="inlineStr">
        <is>
          <t>C</t>
        </is>
      </c>
      <c r="Q49" t="n">
        <v>2</v>
      </c>
      <c r="R49" t="b">
        <v>1</v>
      </c>
      <c r="S49" t="inlineStr">
        <is>
          <t xml:space="preserve"> </t>
        </is>
      </c>
      <c r="T49" t="n">
        <v>0</v>
      </c>
    </row>
    <row r="50">
      <c r="A50" t="inlineStr">
        <is>
          <t>presence_rating</t>
        </is>
      </c>
      <c r="B50" t="n">
        <v>4</v>
      </c>
      <c r="C50" t="inlineStr">
        <is>
          <t>T</t>
        </is>
      </c>
      <c r="D50" t="n">
        <v>40</v>
      </c>
      <c r="E50" t="n">
        <v>134</v>
      </c>
      <c r="F50" t="n">
        <v>160</v>
      </c>
      <c r="G50" t="n">
        <v>140</v>
      </c>
      <c r="H50" t="inlineStr">
        <is>
          <t>custom</t>
        </is>
      </c>
      <c r="I50" t="n">
        <v>20</v>
      </c>
      <c r="J50" t="n">
        <v>1</v>
      </c>
      <c r="K50" t="n">
        <v>0</v>
      </c>
      <c r="L50" t="n">
        <v>0</v>
      </c>
      <c r="N50" t="inlineStr">
        <is>
          <t>eceaf8</t>
        </is>
      </c>
      <c r="O50" t="inlineStr">
        <is>
          <t>C</t>
        </is>
      </c>
      <c r="P50" t="inlineStr">
        <is>
          <t xml:space="preserve">{presence}/{n} ({percent}) </t>
        </is>
      </c>
      <c r="Q50" t="n">
        <v>3</v>
      </c>
      <c r="R50" t="b">
        <v>1</v>
      </c>
      <c r="S50" t="inlineStr">
        <is>
          <t xml:space="preserve"> </t>
        </is>
      </c>
      <c r="T50" t="n">
        <v>0</v>
      </c>
    </row>
    <row r="51">
      <c r="A51" t="inlineStr">
        <is>
          <t>quality box</t>
        </is>
      </c>
      <c r="B51" t="n">
        <v>4</v>
      </c>
      <c r="C51" t="inlineStr">
        <is>
          <t>B</t>
        </is>
      </c>
      <c r="D51" t="n">
        <v>30</v>
      </c>
      <c r="E51" t="n">
        <v>182</v>
      </c>
      <c r="F51" t="n">
        <v>170</v>
      </c>
      <c r="G51" t="n">
        <v>249</v>
      </c>
      <c r="I51" t="n">
        <v>0</v>
      </c>
      <c r="J51" t="n">
        <v>1</v>
      </c>
      <c r="K51" t="n">
        <v>0</v>
      </c>
      <c r="L51" t="n">
        <v>0</v>
      </c>
      <c r="M51" t="inlineStr">
        <is>
          <t>faf0f6</t>
        </is>
      </c>
      <c r="N51" t="inlineStr">
        <is>
          <t>faf0f6</t>
        </is>
      </c>
      <c r="O51" t="inlineStr">
        <is>
          <t>L</t>
        </is>
      </c>
      <c r="Q51" t="n">
        <v>1</v>
      </c>
      <c r="R51" t="b">
        <v>0</v>
      </c>
      <c r="S51" t="inlineStr">
        <is>
          <t xml:space="preserve"> </t>
        </is>
      </c>
      <c r="T51" t="n">
        <v>0</v>
      </c>
    </row>
    <row r="52">
      <c r="A52" t="inlineStr">
        <is>
          <t>quality_text</t>
        </is>
      </c>
      <c r="B52" t="n">
        <v>4</v>
      </c>
      <c r="C52" t="inlineStr">
        <is>
          <t>T</t>
        </is>
      </c>
      <c r="D52" t="n">
        <v>40</v>
      </c>
      <c r="E52" t="n">
        <v>190</v>
      </c>
      <c r="F52" t="n">
        <v>160</v>
      </c>
      <c r="G52" t="n">
        <v>195</v>
      </c>
      <c r="H52" t="inlineStr">
        <is>
          <t>custom</t>
        </is>
      </c>
      <c r="I52" t="n">
        <v>16</v>
      </c>
      <c r="J52" t="n">
        <v>1</v>
      </c>
      <c r="K52" t="n">
        <v>0</v>
      </c>
      <c r="L52" t="n">
        <v>0</v>
      </c>
      <c r="N52" t="inlineStr">
        <is>
          <t>faf0f6</t>
        </is>
      </c>
      <c r="O52" t="inlineStr">
        <is>
          <t>C</t>
        </is>
      </c>
      <c r="Q52" t="n">
        <v>3</v>
      </c>
      <c r="R52" t="b">
        <v>1</v>
      </c>
      <c r="S52" t="inlineStr">
        <is>
          <t xml:space="preserve"> </t>
        </is>
      </c>
      <c r="T52" t="n">
        <v>0</v>
      </c>
    </row>
    <row r="53">
      <c r="A53" t="inlineStr">
        <is>
          <t>quality_description</t>
        </is>
      </c>
      <c r="B53" t="n">
        <v>4</v>
      </c>
      <c r="C53" t="inlineStr">
        <is>
          <t>T</t>
        </is>
      </c>
      <c r="D53" t="n">
        <v>40</v>
      </c>
      <c r="E53" t="n">
        <v>203</v>
      </c>
      <c r="F53" t="n">
        <v>160</v>
      </c>
      <c r="G53" t="n">
        <v>211</v>
      </c>
      <c r="H53" t="inlineStr">
        <is>
          <t>custom</t>
        </is>
      </c>
      <c r="I53" t="n">
        <v>16</v>
      </c>
      <c r="J53" t="n">
        <v>0</v>
      </c>
      <c r="K53" t="n">
        <v>1</v>
      </c>
      <c r="L53" t="n">
        <v>0</v>
      </c>
      <c r="N53" t="inlineStr">
        <is>
          <t>faf0f6</t>
        </is>
      </c>
      <c r="O53" t="inlineStr">
        <is>
          <t>C</t>
        </is>
      </c>
      <c r="Q53" t="n">
        <v>2</v>
      </c>
      <c r="R53" t="b">
        <v>1</v>
      </c>
      <c r="S53" t="inlineStr">
        <is>
          <t xml:space="preserve"> </t>
        </is>
      </c>
      <c r="T53" t="n">
        <v>0</v>
      </c>
    </row>
    <row r="54">
      <c r="A54" t="inlineStr">
        <is>
          <t>quality_rating</t>
        </is>
      </c>
      <c r="B54" t="n">
        <v>4</v>
      </c>
      <c r="C54" t="inlineStr">
        <is>
          <t>T</t>
        </is>
      </c>
      <c r="D54" t="n">
        <v>40</v>
      </c>
      <c r="E54" t="n">
        <v>231</v>
      </c>
      <c r="F54" t="n">
        <v>160</v>
      </c>
      <c r="G54" t="n">
        <v>237</v>
      </c>
      <c r="H54" t="inlineStr">
        <is>
          <t>custom</t>
        </is>
      </c>
      <c r="I54" t="n">
        <v>20</v>
      </c>
      <c r="J54" t="n">
        <v>1</v>
      </c>
      <c r="K54" t="n">
        <v>0</v>
      </c>
      <c r="L54" t="n">
        <v>0</v>
      </c>
      <c r="N54" t="inlineStr">
        <is>
          <t>faf0f6</t>
        </is>
      </c>
      <c r="O54" t="inlineStr">
        <is>
          <t>C</t>
        </is>
      </c>
      <c r="P54" t="inlineStr">
        <is>
          <t xml:space="preserve">{quality}/{n} ({percent}) </t>
        </is>
      </c>
      <c r="Q54" t="n">
        <v>3</v>
      </c>
      <c r="R54" t="b">
        <v>1</v>
      </c>
      <c r="S54" t="inlineStr">
        <is>
          <t xml:space="preserve"> </t>
        </is>
      </c>
      <c r="T54" t="n">
        <v>0</v>
      </c>
    </row>
    <row r="55">
      <c r="A55" t="inlineStr">
        <is>
          <t>25 city study box</t>
        </is>
      </c>
      <c r="B55" t="n">
        <v>5</v>
      </c>
      <c r="C55" t="inlineStr">
        <is>
          <t>B</t>
        </is>
      </c>
      <c r="D55" t="n">
        <v>14</v>
      </c>
      <c r="E55" t="n">
        <v>45</v>
      </c>
      <c r="F55" t="n">
        <v>196</v>
      </c>
      <c r="G55" t="n">
        <v>244</v>
      </c>
      <c r="I55" t="n">
        <v>0</v>
      </c>
      <c r="J55" t="n">
        <v>0</v>
      </c>
      <c r="K55" t="n">
        <v>0</v>
      </c>
      <c r="L55" t="n">
        <v>0</v>
      </c>
      <c r="N55" t="inlineStr">
        <is>
          <t>FFFFFF</t>
        </is>
      </c>
      <c r="O55" t="inlineStr">
        <is>
          <t>L</t>
        </is>
      </c>
      <c r="Q55" t="n">
        <v>1</v>
      </c>
      <c r="R55" t="b">
        <v>0</v>
      </c>
      <c r="S55" t="inlineStr">
        <is>
          <t xml:space="preserve"> </t>
        </is>
      </c>
      <c r="T55" t="n">
        <v>0</v>
      </c>
    </row>
    <row r="56">
      <c r="A56" t="inlineStr">
        <is>
          <t>25 city study header</t>
        </is>
      </c>
      <c r="B56" t="n">
        <v>5</v>
      </c>
      <c r="C56" t="inlineStr">
        <is>
          <t>T</t>
        </is>
      </c>
      <c r="D56" t="n">
        <v>20</v>
      </c>
      <c r="E56" t="n">
        <v>51</v>
      </c>
      <c r="F56" t="n">
        <v>194</v>
      </c>
      <c r="G56" t="n">
        <v>56</v>
      </c>
      <c r="H56" t="inlineStr">
        <is>
          <t>custom</t>
        </is>
      </c>
      <c r="I56" t="n">
        <v>12</v>
      </c>
      <c r="J56" t="n">
        <v>1</v>
      </c>
      <c r="K56" t="n">
        <v>0</v>
      </c>
      <c r="L56" t="n">
        <v>0</v>
      </c>
      <c r="N56" t="inlineStr">
        <is>
          <t>FFFFFF</t>
        </is>
      </c>
      <c r="O56" t="inlineStr">
        <is>
          <t>L</t>
        </is>
      </c>
      <c r="Q56" t="n">
        <v>2</v>
      </c>
      <c r="R56" t="b">
        <v>1</v>
      </c>
      <c r="S56" t="inlineStr">
        <is>
          <t xml:space="preserve"> </t>
        </is>
      </c>
      <c r="T56" t="n">
        <v>0</v>
      </c>
    </row>
    <row r="57">
      <c r="A57" t="inlineStr">
        <is>
          <t>25 city study</t>
        </is>
      </c>
      <c r="B57" t="n">
        <v>5</v>
      </c>
      <c r="C57" t="inlineStr">
        <is>
          <t>T</t>
        </is>
      </c>
      <c r="D57" t="n">
        <v>20</v>
      </c>
      <c r="E57" t="n">
        <v>64</v>
      </c>
      <c r="F57" t="n">
        <v>194</v>
      </c>
      <c r="G57" t="n">
        <v>69</v>
      </c>
      <c r="H57" t="inlineStr">
        <is>
          <t>custom</t>
        </is>
      </c>
      <c r="I57" t="n">
        <v>12</v>
      </c>
      <c r="J57" t="n">
        <v>0</v>
      </c>
      <c r="K57" t="n">
        <v>0</v>
      </c>
      <c r="L57" t="n">
        <v>0</v>
      </c>
      <c r="N57" t="inlineStr">
        <is>
          <t>FFFFFF</t>
        </is>
      </c>
      <c r="O57" t="inlineStr">
        <is>
          <t>L</t>
        </is>
      </c>
      <c r="P57" s="1" t="n"/>
      <c r="Q57" t="n">
        <v>1</v>
      </c>
      <c r="R57" t="b">
        <v>1</v>
      </c>
      <c r="S57" t="inlineStr">
        <is>
          <t xml:space="preserve"> </t>
        </is>
      </c>
      <c r="T57" t="n">
        <v>0</v>
      </c>
    </row>
    <row r="58">
      <c r="A58" t="inlineStr">
        <is>
          <t>25 global cities</t>
        </is>
      </c>
      <c r="B58" t="n">
        <v>5</v>
      </c>
      <c r="C58" t="inlineStr">
        <is>
          <t>I</t>
        </is>
      </c>
      <c r="D58" t="n">
        <v>14</v>
      </c>
      <c r="E58" t="n">
        <v>130</v>
      </c>
      <c r="F58" t="n">
        <v>196</v>
      </c>
      <c r="G58" t="n">
        <v>225</v>
      </c>
      <c r="I58" t="n">
        <v>0</v>
      </c>
      <c r="J58" t="n">
        <v>0</v>
      </c>
      <c r="K58" t="n">
        <v>0</v>
      </c>
      <c r="L58" t="n">
        <v>0</v>
      </c>
      <c r="N58" t="inlineStr">
        <is>
          <t>FFFFFF</t>
        </is>
      </c>
      <c r="O58" t="inlineStr">
        <is>
          <t>L</t>
        </is>
      </c>
      <c r="P58" s="1" t="inlineStr">
        <is>
          <t>configuration/assets/25 city global map.svg</t>
        </is>
      </c>
      <c r="Q58" t="n">
        <v>1</v>
      </c>
      <c r="R58" t="b">
        <v>1</v>
      </c>
      <c r="S58" t="inlineStr">
        <is>
          <t xml:space="preserve"> </t>
        </is>
      </c>
      <c r="T58" t="n">
        <v>0</v>
      </c>
    </row>
    <row r="59">
      <c r="A59" t="inlineStr">
        <is>
          <t>Low</t>
        </is>
      </c>
      <c r="B59" t="n">
        <v>5</v>
      </c>
      <c r="C59" t="inlineStr">
        <is>
          <t>T</t>
        </is>
      </c>
      <c r="D59" t="n">
        <v>78</v>
      </c>
      <c r="E59" t="n">
        <v>223</v>
      </c>
      <c r="F59" t="n">
        <v>102</v>
      </c>
      <c r="G59" t="n">
        <v>226</v>
      </c>
      <c r="H59" t="inlineStr">
        <is>
          <t>custom</t>
        </is>
      </c>
      <c r="I59" t="n">
        <v>8</v>
      </c>
      <c r="J59" t="n">
        <v>0</v>
      </c>
      <c r="K59" t="n">
        <v>0</v>
      </c>
      <c r="L59" t="n">
        <v>0</v>
      </c>
      <c r="M59" t="inlineStr">
        <is>
          <t>584b9f</t>
        </is>
      </c>
      <c r="O59" t="inlineStr">
        <is>
          <t>L</t>
        </is>
      </c>
      <c r="Q59" t="n">
        <v>3</v>
      </c>
      <c r="R59" t="b">
        <v>1</v>
      </c>
      <c r="T59" t="n">
        <v>0</v>
      </c>
    </row>
    <row r="60">
      <c r="A60" t="inlineStr">
        <is>
          <t>High</t>
        </is>
      </c>
      <c r="B60" t="n">
        <v>5</v>
      </c>
      <c r="C60" t="inlineStr">
        <is>
          <t>T</t>
        </is>
      </c>
      <c r="D60" t="n">
        <v>114</v>
      </c>
      <c r="E60" t="n">
        <v>223</v>
      </c>
      <c r="F60" t="n">
        <v>129</v>
      </c>
      <c r="G60" t="n">
        <v>226</v>
      </c>
      <c r="H60" t="inlineStr">
        <is>
          <t>custom</t>
        </is>
      </c>
      <c r="I60" t="n">
        <v>8</v>
      </c>
      <c r="J60" t="n">
        <v>0</v>
      </c>
      <c r="K60" t="n">
        <v>0</v>
      </c>
      <c r="L60" t="n">
        <v>0</v>
      </c>
      <c r="M60" t="inlineStr">
        <is>
          <t>584b9f</t>
        </is>
      </c>
      <c r="O60" t="inlineStr">
        <is>
          <t>R</t>
        </is>
      </c>
      <c r="Q60" t="n">
        <v>3</v>
      </c>
      <c r="R60" t="b">
        <v>1</v>
      </c>
      <c r="T60" t="n">
        <v>0</v>
      </c>
    </row>
    <row r="61">
      <c r="A61" t="inlineStr">
        <is>
          <t>Neighbourhood walkability relative to 25 cities internationally</t>
        </is>
      </c>
      <c r="B61" t="n">
        <v>5</v>
      </c>
      <c r="C61" t="inlineStr">
        <is>
          <t>T</t>
        </is>
      </c>
      <c r="D61" t="n">
        <v>66</v>
      </c>
      <c r="E61" t="n">
        <v>228</v>
      </c>
      <c r="F61" t="n">
        <v>141</v>
      </c>
      <c r="G61" t="n">
        <v>231</v>
      </c>
      <c r="H61" t="inlineStr">
        <is>
          <t>custom</t>
        </is>
      </c>
      <c r="I61" t="n">
        <v>8</v>
      </c>
      <c r="J61" t="n">
        <v>0</v>
      </c>
      <c r="K61" t="n">
        <v>1</v>
      </c>
      <c r="L61" t="n">
        <v>0</v>
      </c>
      <c r="M61" t="inlineStr">
        <is>
          <t>584b9f</t>
        </is>
      </c>
      <c r="O61" t="inlineStr">
        <is>
          <t>C</t>
        </is>
      </c>
      <c r="Q61" t="n">
        <v>3</v>
      </c>
      <c r="R61" t="b">
        <v>1</v>
      </c>
      <c r="T61" t="n">
        <v>0</v>
      </c>
    </row>
    <row r="62">
      <c r="A62" t="inlineStr">
        <is>
          <t>25 city study legend box</t>
        </is>
      </c>
      <c r="B62" t="n">
        <v>5</v>
      </c>
      <c r="C62" t="inlineStr">
        <is>
          <t>B</t>
        </is>
      </c>
      <c r="D62" t="n">
        <v>64</v>
      </c>
      <c r="E62" t="n">
        <v>214</v>
      </c>
      <c r="F62" t="n">
        <v>143</v>
      </c>
      <c r="G62" t="n">
        <v>236</v>
      </c>
      <c r="I62" t="n">
        <v>0</v>
      </c>
      <c r="J62" t="n">
        <v>0</v>
      </c>
      <c r="K62" t="n">
        <v>0</v>
      </c>
      <c r="L62" t="n">
        <v>0</v>
      </c>
      <c r="O62" t="inlineStr">
        <is>
          <t>L</t>
        </is>
      </c>
      <c r="Q62" t="n">
        <v>1</v>
      </c>
      <c r="R62" t="b">
        <v>0</v>
      </c>
      <c r="S62" t="inlineStr">
        <is>
          <t xml:space="preserve"> </t>
        </is>
      </c>
      <c r="T62" t="n">
        <v>0</v>
      </c>
    </row>
    <row r="63">
      <c r="A63" t="inlineStr">
        <is>
          <t>Integrated city planning policies for health and sustainability</t>
        </is>
      </c>
      <c r="B63" t="n">
        <v>6</v>
      </c>
      <c r="C63" t="inlineStr">
        <is>
          <t>T</t>
        </is>
      </c>
      <c r="D63" t="n">
        <v>14</v>
      </c>
      <c r="E63" t="n">
        <v>20</v>
      </c>
      <c r="F63" t="n">
        <v>196</v>
      </c>
      <c r="G63" t="n">
        <v>25</v>
      </c>
      <c r="H63" t="inlineStr">
        <is>
          <t>custom</t>
        </is>
      </c>
      <c r="I63" t="n">
        <v>14</v>
      </c>
      <c r="J63" t="n">
        <v>1</v>
      </c>
      <c r="K63" t="n">
        <v>0</v>
      </c>
      <c r="L63" t="n">
        <v>0</v>
      </c>
      <c r="N63" t="inlineStr">
        <is>
          <t>FFFFFF</t>
        </is>
      </c>
      <c r="O63" t="inlineStr">
        <is>
          <t>L</t>
        </is>
      </c>
      <c r="Q63" t="n">
        <v>3</v>
      </c>
      <c r="R63" t="b">
        <v>1</v>
      </c>
      <c r="S63" t="inlineStr">
        <is>
          <t xml:space="preserve"> </t>
        </is>
      </c>
      <c r="T63" t="n">
        <v>0</v>
      </c>
    </row>
    <row r="64">
      <c r="A64" t="inlineStr">
        <is>
          <t>Integrated city planning text</t>
        </is>
      </c>
      <c r="B64" t="n">
        <v>6</v>
      </c>
      <c r="C64" t="inlineStr">
        <is>
          <t>T</t>
        </is>
      </c>
      <c r="D64" t="n">
        <v>14</v>
      </c>
      <c r="E64" t="n">
        <v>33</v>
      </c>
      <c r="F64" t="n">
        <v>196</v>
      </c>
      <c r="G64" t="n">
        <v>38</v>
      </c>
      <c r="H64" t="inlineStr">
        <is>
          <t>custom</t>
        </is>
      </c>
      <c r="I64" t="n">
        <v>12</v>
      </c>
      <c r="J64" t="n">
        <v>0</v>
      </c>
      <c r="K64" t="n">
        <v>0</v>
      </c>
      <c r="L64" t="n">
        <v>0</v>
      </c>
      <c r="N64" t="inlineStr">
        <is>
          <t>FFFFFF</t>
        </is>
      </c>
      <c r="O64" t="inlineStr">
        <is>
          <t>L</t>
        </is>
      </c>
      <c r="Q64" t="n">
        <v>3</v>
      </c>
      <c r="R64" t="b">
        <v>1</v>
      </c>
      <c r="T64" t="n">
        <v>0</v>
      </c>
    </row>
    <row r="65">
      <c r="A65" t="inlineStr">
        <is>
          <t>policy_box_checklist1</t>
        </is>
      </c>
      <c r="B65" t="n">
        <v>6</v>
      </c>
      <c r="C65" t="inlineStr">
        <is>
          <t>B</t>
        </is>
      </c>
      <c r="D65" t="n">
        <v>0</v>
      </c>
      <c r="E65" t="n">
        <v>85</v>
      </c>
      <c r="F65" t="n">
        <v>210</v>
      </c>
      <c r="G65" t="n">
        <v>198</v>
      </c>
      <c r="I65" t="n">
        <v>0</v>
      </c>
      <c r="J65" t="n">
        <v>1</v>
      </c>
      <c r="K65" t="n">
        <v>0</v>
      </c>
      <c r="L65" t="n">
        <v>0</v>
      </c>
      <c r="M65" t="inlineStr">
        <is>
          <t>d0d8dd</t>
        </is>
      </c>
      <c r="N65" t="inlineStr">
        <is>
          <t>d0d8dd</t>
        </is>
      </c>
      <c r="O65" t="inlineStr">
        <is>
          <t>L</t>
        </is>
      </c>
      <c r="Q65" t="n">
        <v>1</v>
      </c>
      <c r="R65" t="b">
        <v>0</v>
      </c>
      <c r="S65" t="inlineStr">
        <is>
          <t xml:space="preserve"> </t>
        </is>
      </c>
      <c r="T65" t="n">
        <v>0</v>
      </c>
    </row>
    <row r="66">
      <c r="A66" t="inlineStr">
        <is>
          <t>policy_checklist1_title</t>
        </is>
      </c>
      <c r="B66" t="n">
        <v>6</v>
      </c>
      <c r="C66" t="inlineStr">
        <is>
          <t>T</t>
        </is>
      </c>
      <c r="D66" t="n">
        <v>14</v>
      </c>
      <c r="E66" t="n">
        <v>90</v>
      </c>
      <c r="F66" t="n">
        <v>196</v>
      </c>
      <c r="G66" t="n">
        <v>93</v>
      </c>
      <c r="H66" t="inlineStr">
        <is>
          <t>custom</t>
        </is>
      </c>
      <c r="I66" t="n">
        <v>12</v>
      </c>
      <c r="J66" t="n">
        <v>1</v>
      </c>
      <c r="K66" t="n">
        <v>0</v>
      </c>
      <c r="L66" t="n">
        <v>0</v>
      </c>
      <c r="N66" t="inlineStr">
        <is>
          <t>d0d8dd</t>
        </is>
      </c>
      <c r="O66" t="inlineStr">
        <is>
          <t>L</t>
        </is>
      </c>
      <c r="Q66" t="n">
        <v>3</v>
      </c>
      <c r="R66" t="b">
        <v>0</v>
      </c>
      <c r="S66" t="inlineStr">
        <is>
          <t xml:space="preserve"> </t>
        </is>
      </c>
      <c r="T66" t="n">
        <v>0</v>
      </c>
    </row>
    <row r="67">
      <c r="A67" t="inlineStr">
        <is>
          <t>policy_checklist_header1</t>
        </is>
      </c>
      <c r="B67" t="n">
        <v>6</v>
      </c>
      <c r="C67" t="inlineStr">
        <is>
          <t>T</t>
        </is>
      </c>
      <c r="D67" t="n">
        <v>113</v>
      </c>
      <c r="E67" t="n">
        <v>87</v>
      </c>
      <c r="F67" t="n">
        <v>140</v>
      </c>
      <c r="G67" t="n">
        <v>92</v>
      </c>
      <c r="H67" t="inlineStr">
        <is>
          <t>custom</t>
        </is>
      </c>
      <c r="I67" t="n">
        <v>10</v>
      </c>
      <c r="J67" t="n">
        <v>1</v>
      </c>
      <c r="K67" t="n">
        <v>0</v>
      </c>
      <c r="L67" t="n">
        <v>0</v>
      </c>
      <c r="N67" t="inlineStr">
        <is>
          <t>d0d8dd</t>
        </is>
      </c>
      <c r="O67" t="inlineStr">
        <is>
          <t>C</t>
        </is>
      </c>
      <c r="Q67" t="n">
        <v>3</v>
      </c>
      <c r="R67" t="b">
        <v>1</v>
      </c>
      <c r="S67" t="inlineStr">
        <is>
          <t xml:space="preserve"> </t>
        </is>
      </c>
      <c r="T67" t="n">
        <v>0</v>
      </c>
    </row>
    <row r="68">
      <c r="A68" t="inlineStr">
        <is>
          <t>policy_checklist_header2</t>
        </is>
      </c>
      <c r="B68" t="n">
        <v>6</v>
      </c>
      <c r="C68" t="inlineStr">
        <is>
          <t>T</t>
        </is>
      </c>
      <c r="D68" t="n">
        <v>140</v>
      </c>
      <c r="E68" t="n">
        <v>87</v>
      </c>
      <c r="F68" t="n">
        <v>169</v>
      </c>
      <c r="G68" t="n">
        <v>92</v>
      </c>
      <c r="H68" t="inlineStr">
        <is>
          <t>custom</t>
        </is>
      </c>
      <c r="I68" t="n">
        <v>10</v>
      </c>
      <c r="J68" t="n">
        <v>1</v>
      </c>
      <c r="K68" t="n">
        <v>0</v>
      </c>
      <c r="L68" t="n">
        <v>0</v>
      </c>
      <c r="N68" t="inlineStr">
        <is>
          <t>d0d8dd</t>
        </is>
      </c>
      <c r="O68" t="inlineStr">
        <is>
          <t>C</t>
        </is>
      </c>
      <c r="Q68" t="n">
        <v>3</v>
      </c>
      <c r="R68" t="b">
        <v>1</v>
      </c>
      <c r="S68" t="inlineStr">
        <is>
          <t xml:space="preserve"> </t>
        </is>
      </c>
      <c r="T68" t="n">
        <v>0</v>
      </c>
    </row>
    <row r="69">
      <c r="A69" t="inlineStr">
        <is>
          <t>policy_checklist_header3</t>
        </is>
      </c>
      <c r="B69" t="n">
        <v>6</v>
      </c>
      <c r="C69" t="inlineStr">
        <is>
          <t>T</t>
        </is>
      </c>
      <c r="D69" t="n">
        <v>168</v>
      </c>
      <c r="E69" t="n">
        <v>87</v>
      </c>
      <c r="F69" t="n">
        <v>194</v>
      </c>
      <c r="G69" t="n">
        <v>92</v>
      </c>
      <c r="H69" t="inlineStr">
        <is>
          <t>custom</t>
        </is>
      </c>
      <c r="I69" t="n">
        <v>10</v>
      </c>
      <c r="J69" t="n">
        <v>1</v>
      </c>
      <c r="K69" t="n">
        <v>0</v>
      </c>
      <c r="L69" t="n">
        <v>0</v>
      </c>
      <c r="N69" t="inlineStr">
        <is>
          <t>d0d8dd</t>
        </is>
      </c>
      <c r="O69" t="inlineStr">
        <is>
          <t>C</t>
        </is>
      </c>
      <c r="Q69" t="n">
        <v>3</v>
      </c>
      <c r="R69" t="b">
        <v>1</v>
      </c>
      <c r="S69" t="inlineStr">
        <is>
          <t xml:space="preserve"> </t>
        </is>
      </c>
      <c r="T69" t="n">
        <v>0</v>
      </c>
    </row>
    <row r="70">
      <c r="A70" t="inlineStr">
        <is>
          <t>table_vline1</t>
        </is>
      </c>
      <c r="B70" t="n">
        <v>6</v>
      </c>
      <c r="C70" t="inlineStr">
        <is>
          <t>L</t>
        </is>
      </c>
      <c r="D70" t="n">
        <v>114</v>
      </c>
      <c r="E70" t="n">
        <v>85</v>
      </c>
      <c r="F70" t="n">
        <v>114</v>
      </c>
      <c r="G70" t="n">
        <v>198</v>
      </c>
      <c r="I70" t="n">
        <v>0.5</v>
      </c>
      <c r="J70" t="n">
        <v>0</v>
      </c>
      <c r="K70" t="n">
        <v>0</v>
      </c>
      <c r="L70" t="n">
        <v>0</v>
      </c>
      <c r="M70" t="inlineStr">
        <is>
          <t>FFFFFF</t>
        </is>
      </c>
      <c r="N70" t="inlineStr">
        <is>
          <t>d0d8dd</t>
        </is>
      </c>
      <c r="O70" t="inlineStr">
        <is>
          <t>L</t>
        </is>
      </c>
      <c r="Q70" t="n">
        <v>4</v>
      </c>
      <c r="R70" t="b">
        <v>0</v>
      </c>
      <c r="S70" t="inlineStr">
        <is>
          <t xml:space="preserve"> </t>
        </is>
      </c>
      <c r="T70" t="n">
        <v>0</v>
      </c>
    </row>
    <row r="71">
      <c r="A71" t="inlineStr">
        <is>
          <t>table_vline2</t>
        </is>
      </c>
      <c r="B71" t="n">
        <v>6</v>
      </c>
      <c r="C71" t="inlineStr">
        <is>
          <t>L</t>
        </is>
      </c>
      <c r="D71" t="n">
        <v>141</v>
      </c>
      <c r="E71" t="n">
        <v>85</v>
      </c>
      <c r="F71" t="n">
        <v>141</v>
      </c>
      <c r="G71" t="n">
        <v>198</v>
      </c>
      <c r="I71" t="n">
        <v>0.5</v>
      </c>
      <c r="J71" t="n">
        <v>0</v>
      </c>
      <c r="K71" t="n">
        <v>0</v>
      </c>
      <c r="L71" t="n">
        <v>0</v>
      </c>
      <c r="M71" t="inlineStr">
        <is>
          <t>FFFFFF</t>
        </is>
      </c>
      <c r="N71" t="inlineStr">
        <is>
          <t>d0d8dd</t>
        </is>
      </c>
      <c r="O71" t="inlineStr">
        <is>
          <t>L</t>
        </is>
      </c>
      <c r="Q71" t="n">
        <v>4</v>
      </c>
      <c r="R71" t="b">
        <v>0</v>
      </c>
      <c r="S71" t="inlineStr">
        <is>
          <t xml:space="preserve"> </t>
        </is>
      </c>
      <c r="T71" t="n">
        <v>0</v>
      </c>
    </row>
    <row r="72">
      <c r="A72" t="inlineStr">
        <is>
          <t>table_vline3</t>
        </is>
      </c>
      <c r="B72" t="n">
        <v>6</v>
      </c>
      <c r="C72" t="inlineStr">
        <is>
          <t>L</t>
        </is>
      </c>
      <c r="D72" t="n">
        <v>168</v>
      </c>
      <c r="E72" t="n">
        <v>85</v>
      </c>
      <c r="F72" t="n">
        <v>168</v>
      </c>
      <c r="G72" t="n">
        <v>198</v>
      </c>
      <c r="I72" t="n">
        <v>0.5</v>
      </c>
      <c r="J72" t="n">
        <v>0</v>
      </c>
      <c r="K72" t="n">
        <v>0</v>
      </c>
      <c r="L72" t="n">
        <v>0</v>
      </c>
      <c r="M72" t="inlineStr">
        <is>
          <t>FFFFFF</t>
        </is>
      </c>
      <c r="N72" t="inlineStr">
        <is>
          <t>d0d8dd</t>
        </is>
      </c>
      <c r="O72" t="inlineStr">
        <is>
          <t>L</t>
        </is>
      </c>
      <c r="Q72" t="n">
        <v>4</v>
      </c>
      <c r="R72" t="b">
        <v>0</v>
      </c>
      <c r="S72" t="inlineStr">
        <is>
          <t xml:space="preserve"> </t>
        </is>
      </c>
      <c r="T72" t="n">
        <v>0</v>
      </c>
    </row>
    <row r="73">
      <c r="A73" t="inlineStr">
        <is>
          <t>table_hline_mid</t>
        </is>
      </c>
      <c r="B73" t="n">
        <v>6</v>
      </c>
      <c r="C73" t="inlineStr">
        <is>
          <t>L</t>
        </is>
      </c>
      <c r="D73" t="n">
        <v>14</v>
      </c>
      <c r="E73" t="n">
        <v>112</v>
      </c>
      <c r="F73" t="n">
        <v>196</v>
      </c>
      <c r="G73" t="n">
        <v>112</v>
      </c>
      <c r="I73" t="n">
        <v>0.5</v>
      </c>
      <c r="J73" t="n">
        <v>0</v>
      </c>
      <c r="K73" t="n">
        <v>0</v>
      </c>
      <c r="L73" t="n">
        <v>0</v>
      </c>
      <c r="M73" t="inlineStr">
        <is>
          <t>FFFFFF</t>
        </is>
      </c>
      <c r="N73" t="inlineStr">
        <is>
          <t>d0d8dd</t>
        </is>
      </c>
      <c r="O73" t="inlineStr">
        <is>
          <t>L</t>
        </is>
      </c>
      <c r="Q73" t="n">
        <v>4</v>
      </c>
      <c r="R73" t="b">
        <v>0</v>
      </c>
      <c r="S73" t="inlineStr">
        <is>
          <t xml:space="preserve"> </t>
        </is>
      </c>
      <c r="T73" t="n">
        <v>0</v>
      </c>
    </row>
    <row r="74">
      <c r="A74" t="inlineStr">
        <is>
          <t>Policy key</t>
        </is>
      </c>
      <c r="B74" t="n">
        <v>6</v>
      </c>
      <c r="C74" t="inlineStr">
        <is>
          <t>T</t>
        </is>
      </c>
      <c r="D74" t="n">
        <v>114</v>
      </c>
      <c r="E74" t="n">
        <v>200</v>
      </c>
      <c r="F74" t="n">
        <v>196</v>
      </c>
      <c r="G74" t="n">
        <v>204</v>
      </c>
      <c r="H74" t="inlineStr">
        <is>
          <t>custom</t>
        </is>
      </c>
      <c r="I74" t="n">
        <v>10</v>
      </c>
      <c r="J74" t="n">
        <v>0</v>
      </c>
      <c r="K74" t="n">
        <v>0</v>
      </c>
      <c r="L74" t="n">
        <v>0</v>
      </c>
      <c r="N74" t="inlineStr">
        <is>
          <t>FFFFFF</t>
        </is>
      </c>
      <c r="O74" t="inlineStr">
        <is>
          <t>R</t>
        </is>
      </c>
      <c r="Q74" t="n">
        <v>2</v>
      </c>
      <c r="R74" t="b">
        <v>0</v>
      </c>
      <c r="S74" t="inlineStr">
        <is>
          <t xml:space="preserve"> </t>
        </is>
      </c>
      <c r="T74" t="n">
        <v>0</v>
      </c>
    </row>
    <row r="75">
      <c r="A75" t="inlineStr">
        <is>
          <t>policy_checklist1_text1</t>
        </is>
      </c>
      <c r="B75" t="n">
        <v>6</v>
      </c>
      <c r="C75" t="inlineStr">
        <is>
          <t>T</t>
        </is>
      </c>
      <c r="D75" t="n">
        <v>14</v>
      </c>
      <c r="E75" t="n">
        <v>114</v>
      </c>
      <c r="F75" t="n">
        <v>112</v>
      </c>
      <c r="G75" t="n">
        <v>119</v>
      </c>
      <c r="H75" t="inlineStr">
        <is>
          <t>custom</t>
        </is>
      </c>
      <c r="I75" t="n">
        <v>12</v>
      </c>
      <c r="J75" t="n">
        <v>0</v>
      </c>
      <c r="K75" t="n">
        <v>0</v>
      </c>
      <c r="L75" t="n">
        <v>0</v>
      </c>
      <c r="N75" t="inlineStr">
        <is>
          <t>d0d8dd</t>
        </is>
      </c>
      <c r="O75" t="inlineStr">
        <is>
          <t>L</t>
        </is>
      </c>
      <c r="Q75" t="n">
        <v>3</v>
      </c>
      <c r="R75" t="b">
        <v>1</v>
      </c>
      <c r="S75" t="inlineStr">
        <is>
          <t xml:space="preserve"> </t>
        </is>
      </c>
      <c r="T75" t="n">
        <v>0</v>
      </c>
    </row>
    <row r="76">
      <c r="A76" t="inlineStr">
        <is>
          <t>policy_checklist1_text1_response1</t>
        </is>
      </c>
      <c r="B76" t="n">
        <v>6</v>
      </c>
      <c r="C76" t="inlineStr">
        <is>
          <t>T</t>
        </is>
      </c>
      <c r="D76" t="n">
        <v>113</v>
      </c>
      <c r="E76" t="n">
        <v>115</v>
      </c>
      <c r="F76" t="n">
        <v>140</v>
      </c>
      <c r="G76" t="n">
        <v>118</v>
      </c>
      <c r="H76" t="inlineStr">
        <is>
          <t>dejavu</t>
        </is>
      </c>
      <c r="I76" t="n">
        <v>16</v>
      </c>
      <c r="J76" t="n">
        <v>1</v>
      </c>
      <c r="K76" t="n">
        <v>0</v>
      </c>
      <c r="L76" t="n">
        <v>0</v>
      </c>
      <c r="N76" t="inlineStr">
        <is>
          <t>d0d8dd</t>
        </is>
      </c>
      <c r="O76" t="inlineStr">
        <is>
          <t>C</t>
        </is>
      </c>
      <c r="Q76" t="n">
        <v>2</v>
      </c>
      <c r="R76" t="b">
        <v>0</v>
      </c>
      <c r="S76" t="inlineStr">
        <is>
          <t xml:space="preserve"> </t>
        </is>
      </c>
      <c r="T76" t="n">
        <v>0</v>
      </c>
    </row>
    <row r="77">
      <c r="A77" t="inlineStr">
        <is>
          <t>policy_checklist1_text1_response2</t>
        </is>
      </c>
      <c r="B77" t="n">
        <v>6</v>
      </c>
      <c r="C77" t="inlineStr">
        <is>
          <t>T</t>
        </is>
      </c>
      <c r="D77" t="n">
        <v>140</v>
      </c>
      <c r="E77" t="n">
        <v>115</v>
      </c>
      <c r="F77" t="n">
        <v>169</v>
      </c>
      <c r="G77" t="n">
        <v>118</v>
      </c>
      <c r="H77" t="inlineStr">
        <is>
          <t>dejavu</t>
        </is>
      </c>
      <c r="I77" t="n">
        <v>16</v>
      </c>
      <c r="J77" t="n">
        <v>1</v>
      </c>
      <c r="K77" t="n">
        <v>0</v>
      </c>
      <c r="L77" t="n">
        <v>0</v>
      </c>
      <c r="N77" t="inlineStr">
        <is>
          <t>d0d8dd</t>
        </is>
      </c>
      <c r="O77" t="inlineStr">
        <is>
          <t>C</t>
        </is>
      </c>
      <c r="Q77" t="n">
        <v>2</v>
      </c>
      <c r="R77" t="b">
        <v>0</v>
      </c>
      <c r="S77" t="inlineStr">
        <is>
          <t xml:space="preserve"> </t>
        </is>
      </c>
      <c r="T77" t="n">
        <v>0</v>
      </c>
    </row>
    <row r="78">
      <c r="A78" t="inlineStr">
        <is>
          <t>policy_checklist1_text1_response3</t>
        </is>
      </c>
      <c r="B78" t="n">
        <v>6</v>
      </c>
      <c r="C78" t="inlineStr">
        <is>
          <t>T</t>
        </is>
      </c>
      <c r="D78" t="n">
        <v>168</v>
      </c>
      <c r="E78" t="n">
        <v>115</v>
      </c>
      <c r="F78" t="n">
        <v>194</v>
      </c>
      <c r="G78" t="n">
        <v>118</v>
      </c>
      <c r="H78" t="inlineStr">
        <is>
          <t>dejavu</t>
        </is>
      </c>
      <c r="I78" t="n">
        <v>16</v>
      </c>
      <c r="J78" t="n">
        <v>1</v>
      </c>
      <c r="K78" t="n">
        <v>0</v>
      </c>
      <c r="L78" t="n">
        <v>0</v>
      </c>
      <c r="N78" t="inlineStr">
        <is>
          <t>d0d8dd</t>
        </is>
      </c>
      <c r="O78" t="inlineStr">
        <is>
          <t>C</t>
        </is>
      </c>
      <c r="Q78" t="n">
        <v>2</v>
      </c>
      <c r="R78" t="b">
        <v>0</v>
      </c>
      <c r="S78" t="inlineStr">
        <is>
          <t xml:space="preserve"> </t>
        </is>
      </c>
      <c r="T78" t="n">
        <v>0</v>
      </c>
    </row>
    <row r="79">
      <c r="A79" t="inlineStr">
        <is>
          <t>policy_checklist1_text2</t>
        </is>
      </c>
      <c r="B79" t="n">
        <v>6</v>
      </c>
      <c r="C79" t="inlineStr">
        <is>
          <t>T</t>
        </is>
      </c>
      <c r="D79" t="n">
        <v>14</v>
      </c>
      <c r="E79" t="n">
        <v>130</v>
      </c>
      <c r="F79" t="n">
        <v>112</v>
      </c>
      <c r="G79" t="n">
        <v>135</v>
      </c>
      <c r="H79" t="inlineStr">
        <is>
          <t>custom</t>
        </is>
      </c>
      <c r="I79" t="n">
        <v>12</v>
      </c>
      <c r="J79" t="n">
        <v>0</v>
      </c>
      <c r="K79" t="n">
        <v>0</v>
      </c>
      <c r="L79" t="n">
        <v>0</v>
      </c>
      <c r="N79" t="inlineStr">
        <is>
          <t>d0d8dd</t>
        </is>
      </c>
      <c r="O79" t="inlineStr">
        <is>
          <t>L</t>
        </is>
      </c>
      <c r="Q79" t="n">
        <v>3</v>
      </c>
      <c r="R79" t="b">
        <v>1</v>
      </c>
      <c r="S79" t="inlineStr">
        <is>
          <t xml:space="preserve"> </t>
        </is>
      </c>
      <c r="T79" t="n">
        <v>0</v>
      </c>
    </row>
    <row r="80">
      <c r="A80" t="inlineStr">
        <is>
          <t>policy_checklist1_text2_response1</t>
        </is>
      </c>
      <c r="B80" t="n">
        <v>6</v>
      </c>
      <c r="C80" t="inlineStr">
        <is>
          <t>T</t>
        </is>
      </c>
      <c r="D80" t="n">
        <v>113</v>
      </c>
      <c r="E80" t="n">
        <v>131</v>
      </c>
      <c r="F80" t="n">
        <v>140</v>
      </c>
      <c r="G80" t="n">
        <v>134</v>
      </c>
      <c r="H80" t="inlineStr">
        <is>
          <t>dejavu</t>
        </is>
      </c>
      <c r="I80" t="n">
        <v>16</v>
      </c>
      <c r="J80" t="n">
        <v>1</v>
      </c>
      <c r="K80" t="n">
        <v>0</v>
      </c>
      <c r="L80" t="n">
        <v>0</v>
      </c>
      <c r="N80" t="inlineStr">
        <is>
          <t>d0d8dd</t>
        </is>
      </c>
      <c r="O80" t="inlineStr">
        <is>
          <t>C</t>
        </is>
      </c>
      <c r="Q80" t="n">
        <v>2</v>
      </c>
      <c r="R80" t="b">
        <v>0</v>
      </c>
      <c r="S80" t="inlineStr">
        <is>
          <t xml:space="preserve"> </t>
        </is>
      </c>
      <c r="T80" t="n">
        <v>0</v>
      </c>
    </row>
    <row r="81">
      <c r="A81" t="inlineStr">
        <is>
          <t>policy_checklist1_text2_response2</t>
        </is>
      </c>
      <c r="B81" t="n">
        <v>6</v>
      </c>
      <c r="C81" t="inlineStr">
        <is>
          <t>T</t>
        </is>
      </c>
      <c r="D81" t="n">
        <v>140</v>
      </c>
      <c r="E81" t="n">
        <v>131</v>
      </c>
      <c r="F81" t="n">
        <v>169</v>
      </c>
      <c r="G81" t="n">
        <v>134</v>
      </c>
      <c r="H81" t="inlineStr">
        <is>
          <t>dejavu</t>
        </is>
      </c>
      <c r="I81" t="n">
        <v>16</v>
      </c>
      <c r="J81" t="n">
        <v>1</v>
      </c>
      <c r="K81" t="n">
        <v>0</v>
      </c>
      <c r="L81" t="n">
        <v>0</v>
      </c>
      <c r="N81" t="inlineStr">
        <is>
          <t>d0d8dd</t>
        </is>
      </c>
      <c r="O81" t="inlineStr">
        <is>
          <t>C</t>
        </is>
      </c>
      <c r="Q81" t="n">
        <v>2</v>
      </c>
      <c r="R81" t="b">
        <v>0</v>
      </c>
      <c r="S81" t="inlineStr">
        <is>
          <t xml:space="preserve"> </t>
        </is>
      </c>
      <c r="T81" t="n">
        <v>0</v>
      </c>
    </row>
    <row r="82">
      <c r="A82" t="inlineStr">
        <is>
          <t>policy_checklist1_text2_response3</t>
        </is>
      </c>
      <c r="B82" t="n">
        <v>6</v>
      </c>
      <c r="C82" t="inlineStr">
        <is>
          <t>T</t>
        </is>
      </c>
      <c r="D82" t="n">
        <v>168</v>
      </c>
      <c r="E82" t="n">
        <v>131</v>
      </c>
      <c r="F82" t="n">
        <v>194</v>
      </c>
      <c r="G82" t="n">
        <v>134</v>
      </c>
      <c r="H82" t="inlineStr">
        <is>
          <t>dejavu</t>
        </is>
      </c>
      <c r="I82" t="n">
        <v>16</v>
      </c>
      <c r="J82" t="n">
        <v>1</v>
      </c>
      <c r="K82" t="n">
        <v>0</v>
      </c>
      <c r="L82" t="n">
        <v>0</v>
      </c>
      <c r="N82" t="inlineStr">
        <is>
          <t>d0d8dd</t>
        </is>
      </c>
      <c r="O82" t="inlineStr">
        <is>
          <t>C</t>
        </is>
      </c>
      <c r="Q82" t="n">
        <v>2</v>
      </c>
      <c r="R82" t="b">
        <v>0</v>
      </c>
      <c r="S82" t="inlineStr">
        <is>
          <t xml:space="preserve"> </t>
        </is>
      </c>
      <c r="T82" t="n">
        <v>0</v>
      </c>
    </row>
    <row r="83">
      <c r="A83" t="inlineStr">
        <is>
          <t>policy_checklist1_text3</t>
        </is>
      </c>
      <c r="B83" t="n">
        <v>6</v>
      </c>
      <c r="C83" t="inlineStr">
        <is>
          <t>T</t>
        </is>
      </c>
      <c r="D83" t="n">
        <v>14</v>
      </c>
      <c r="E83" t="n">
        <v>146</v>
      </c>
      <c r="F83" t="n">
        <v>112</v>
      </c>
      <c r="G83" t="n">
        <v>151</v>
      </c>
      <c r="H83" t="inlineStr">
        <is>
          <t>custom</t>
        </is>
      </c>
      <c r="I83" t="n">
        <v>12</v>
      </c>
      <c r="J83" t="n">
        <v>0</v>
      </c>
      <c r="K83" t="n">
        <v>0</v>
      </c>
      <c r="L83" t="n">
        <v>0</v>
      </c>
      <c r="N83" t="inlineStr">
        <is>
          <t>d0d8dd</t>
        </is>
      </c>
      <c r="O83" t="inlineStr">
        <is>
          <t>L</t>
        </is>
      </c>
      <c r="Q83" t="n">
        <v>3</v>
      </c>
      <c r="R83" t="b">
        <v>1</v>
      </c>
      <c r="S83" t="inlineStr">
        <is>
          <t xml:space="preserve"> </t>
        </is>
      </c>
      <c r="T83" t="n">
        <v>0</v>
      </c>
    </row>
    <row r="84">
      <c r="A84" t="inlineStr">
        <is>
          <t>policy_checklist1_text3_response1</t>
        </is>
      </c>
      <c r="B84" t="n">
        <v>6</v>
      </c>
      <c r="C84" t="inlineStr">
        <is>
          <t>T</t>
        </is>
      </c>
      <c r="D84" t="n">
        <v>113</v>
      </c>
      <c r="E84" t="n">
        <v>147</v>
      </c>
      <c r="F84" t="n">
        <v>140</v>
      </c>
      <c r="G84" t="n">
        <v>150</v>
      </c>
      <c r="H84" t="inlineStr">
        <is>
          <t>dejavu</t>
        </is>
      </c>
      <c r="I84" t="n">
        <v>16</v>
      </c>
      <c r="J84" t="n">
        <v>1</v>
      </c>
      <c r="K84" t="n">
        <v>0</v>
      </c>
      <c r="L84" t="n">
        <v>0</v>
      </c>
      <c r="N84" t="inlineStr">
        <is>
          <t>d0d8dd</t>
        </is>
      </c>
      <c r="O84" t="inlineStr">
        <is>
          <t>C</t>
        </is>
      </c>
      <c r="Q84" t="n">
        <v>2</v>
      </c>
      <c r="R84" t="b">
        <v>0</v>
      </c>
      <c r="S84" t="inlineStr">
        <is>
          <t xml:space="preserve"> </t>
        </is>
      </c>
      <c r="T84" t="n">
        <v>0</v>
      </c>
    </row>
    <row r="85">
      <c r="A85" t="inlineStr">
        <is>
          <t>policy_checklist1_text3_response2</t>
        </is>
      </c>
      <c r="B85" t="n">
        <v>6</v>
      </c>
      <c r="C85" t="inlineStr">
        <is>
          <t>T</t>
        </is>
      </c>
      <c r="D85" t="n">
        <v>140</v>
      </c>
      <c r="E85" t="n">
        <v>147</v>
      </c>
      <c r="F85" t="n">
        <v>169</v>
      </c>
      <c r="G85" t="n">
        <v>150</v>
      </c>
      <c r="H85" t="inlineStr">
        <is>
          <t>dejavu</t>
        </is>
      </c>
      <c r="I85" t="n">
        <v>16</v>
      </c>
      <c r="J85" t="n">
        <v>1</v>
      </c>
      <c r="K85" t="n">
        <v>0</v>
      </c>
      <c r="L85" t="n">
        <v>0</v>
      </c>
      <c r="N85" t="inlineStr">
        <is>
          <t>d0d8dd</t>
        </is>
      </c>
      <c r="O85" t="inlineStr">
        <is>
          <t>C</t>
        </is>
      </c>
      <c r="Q85" t="n">
        <v>2</v>
      </c>
      <c r="R85" t="b">
        <v>0</v>
      </c>
      <c r="S85" t="inlineStr">
        <is>
          <t xml:space="preserve"> </t>
        </is>
      </c>
      <c r="T85" t="n">
        <v>0</v>
      </c>
    </row>
    <row r="86">
      <c r="A86" t="inlineStr">
        <is>
          <t>policy_checklist1_text3_response3</t>
        </is>
      </c>
      <c r="B86" t="n">
        <v>6</v>
      </c>
      <c r="C86" t="inlineStr">
        <is>
          <t>T</t>
        </is>
      </c>
      <c r="D86" t="n">
        <v>168</v>
      </c>
      <c r="E86" t="n">
        <v>147</v>
      </c>
      <c r="F86" t="n">
        <v>194</v>
      </c>
      <c r="G86" t="n">
        <v>150</v>
      </c>
      <c r="H86" t="inlineStr">
        <is>
          <t>dejavu</t>
        </is>
      </c>
      <c r="I86" t="n">
        <v>16</v>
      </c>
      <c r="J86" t="n">
        <v>1</v>
      </c>
      <c r="K86" t="n">
        <v>0</v>
      </c>
      <c r="L86" t="n">
        <v>0</v>
      </c>
      <c r="N86" t="inlineStr">
        <is>
          <t>d0d8dd</t>
        </is>
      </c>
      <c r="O86" t="inlineStr">
        <is>
          <t>C</t>
        </is>
      </c>
      <c r="Q86" t="n">
        <v>2</v>
      </c>
      <c r="R86" t="b">
        <v>0</v>
      </c>
      <c r="S86" t="inlineStr">
        <is>
          <t xml:space="preserve"> </t>
        </is>
      </c>
      <c r="T86" t="n">
        <v>0</v>
      </c>
    </row>
    <row r="87">
      <c r="A87" t="inlineStr">
        <is>
          <t>policy_checklist1_text4</t>
        </is>
      </c>
      <c r="B87" t="n">
        <v>6</v>
      </c>
      <c r="C87" t="inlineStr">
        <is>
          <t>T</t>
        </is>
      </c>
      <c r="D87" t="n">
        <v>14</v>
      </c>
      <c r="E87" t="n">
        <v>162</v>
      </c>
      <c r="F87" t="n">
        <v>112</v>
      </c>
      <c r="G87" t="n">
        <v>167</v>
      </c>
      <c r="H87" t="inlineStr">
        <is>
          <t>custom</t>
        </is>
      </c>
      <c r="I87" t="n">
        <v>12</v>
      </c>
      <c r="J87" t="n">
        <v>0</v>
      </c>
      <c r="K87" t="n">
        <v>0</v>
      </c>
      <c r="L87" t="n">
        <v>0</v>
      </c>
      <c r="N87" t="inlineStr">
        <is>
          <t>d0d8dd</t>
        </is>
      </c>
      <c r="O87" t="inlineStr">
        <is>
          <t>L</t>
        </is>
      </c>
      <c r="Q87" t="n">
        <v>3</v>
      </c>
      <c r="R87" t="b">
        <v>1</v>
      </c>
      <c r="S87" t="inlineStr">
        <is>
          <t xml:space="preserve"> </t>
        </is>
      </c>
      <c r="T87" t="n">
        <v>0</v>
      </c>
    </row>
    <row r="88">
      <c r="A88" t="inlineStr">
        <is>
          <t>policy_checklist1_text4_response1</t>
        </is>
      </c>
      <c r="B88" t="n">
        <v>6</v>
      </c>
      <c r="C88" t="inlineStr">
        <is>
          <t>T</t>
        </is>
      </c>
      <c r="D88" t="n">
        <v>113</v>
      </c>
      <c r="E88" t="n">
        <v>163</v>
      </c>
      <c r="F88" t="n">
        <v>140</v>
      </c>
      <c r="G88" t="n">
        <v>166</v>
      </c>
      <c r="H88" t="inlineStr">
        <is>
          <t>dejavu</t>
        </is>
      </c>
      <c r="I88" t="n">
        <v>16</v>
      </c>
      <c r="J88" t="n">
        <v>1</v>
      </c>
      <c r="K88" t="n">
        <v>0</v>
      </c>
      <c r="L88" t="n">
        <v>0</v>
      </c>
      <c r="N88" t="inlineStr">
        <is>
          <t>d0d8dd</t>
        </is>
      </c>
      <c r="O88" t="inlineStr">
        <is>
          <t>C</t>
        </is>
      </c>
      <c r="Q88" t="n">
        <v>2</v>
      </c>
      <c r="R88" t="b">
        <v>0</v>
      </c>
      <c r="S88" t="inlineStr">
        <is>
          <t xml:space="preserve"> </t>
        </is>
      </c>
      <c r="T88" t="n">
        <v>0</v>
      </c>
    </row>
    <row r="89">
      <c r="A89" t="inlineStr">
        <is>
          <t>policy_checklist1_text4_response2</t>
        </is>
      </c>
      <c r="B89" t="n">
        <v>6</v>
      </c>
      <c r="C89" t="inlineStr">
        <is>
          <t>T</t>
        </is>
      </c>
      <c r="D89" t="n">
        <v>140</v>
      </c>
      <c r="E89" t="n">
        <v>163</v>
      </c>
      <c r="F89" t="n">
        <v>169</v>
      </c>
      <c r="G89" t="n">
        <v>166</v>
      </c>
      <c r="H89" t="inlineStr">
        <is>
          <t>dejavu</t>
        </is>
      </c>
      <c r="I89" t="n">
        <v>16</v>
      </c>
      <c r="J89" t="n">
        <v>1</v>
      </c>
      <c r="K89" t="n">
        <v>0</v>
      </c>
      <c r="L89" t="n">
        <v>0</v>
      </c>
      <c r="N89" t="inlineStr">
        <is>
          <t>d0d8dd</t>
        </is>
      </c>
      <c r="O89" t="inlineStr">
        <is>
          <t>C</t>
        </is>
      </c>
      <c r="Q89" t="n">
        <v>2</v>
      </c>
      <c r="R89" t="b">
        <v>0</v>
      </c>
      <c r="S89" t="inlineStr">
        <is>
          <t xml:space="preserve"> </t>
        </is>
      </c>
      <c r="T89" t="n">
        <v>0</v>
      </c>
    </row>
    <row r="90">
      <c r="A90" t="inlineStr">
        <is>
          <t>policy_checklist1_text4_response3</t>
        </is>
      </c>
      <c r="B90" t="n">
        <v>6</v>
      </c>
      <c r="C90" t="inlineStr">
        <is>
          <t>T</t>
        </is>
      </c>
      <c r="D90" t="n">
        <v>168</v>
      </c>
      <c r="E90" t="n">
        <v>163</v>
      </c>
      <c r="F90" t="n">
        <v>194</v>
      </c>
      <c r="G90" t="n">
        <v>166</v>
      </c>
      <c r="H90" t="inlineStr">
        <is>
          <t>dejavu</t>
        </is>
      </c>
      <c r="I90" t="n">
        <v>16</v>
      </c>
      <c r="J90" t="n">
        <v>1</v>
      </c>
      <c r="K90" t="n">
        <v>0</v>
      </c>
      <c r="L90" t="n">
        <v>0</v>
      </c>
      <c r="N90" t="inlineStr">
        <is>
          <t>d0d8dd</t>
        </is>
      </c>
      <c r="O90" t="inlineStr">
        <is>
          <t>C</t>
        </is>
      </c>
      <c r="Q90" t="n">
        <v>2</v>
      </c>
      <c r="R90" t="b">
        <v>0</v>
      </c>
      <c r="S90" t="inlineStr">
        <is>
          <t xml:space="preserve"> </t>
        </is>
      </c>
      <c r="T90" t="n">
        <v>0</v>
      </c>
    </row>
    <row r="91">
      <c r="A91" t="inlineStr">
        <is>
          <t>policy_checklist1_text5</t>
        </is>
      </c>
      <c r="B91" t="n">
        <v>6</v>
      </c>
      <c r="C91" t="inlineStr">
        <is>
          <t>T</t>
        </is>
      </c>
      <c r="D91" t="n">
        <v>14</v>
      </c>
      <c r="E91" t="n">
        <v>178</v>
      </c>
      <c r="F91" t="n">
        <v>112</v>
      </c>
      <c r="G91" t="n">
        <v>183</v>
      </c>
      <c r="H91" t="inlineStr">
        <is>
          <t>custom</t>
        </is>
      </c>
      <c r="I91" t="n">
        <v>12</v>
      </c>
      <c r="J91" t="n">
        <v>0</v>
      </c>
      <c r="K91" t="n">
        <v>0</v>
      </c>
      <c r="L91" t="n">
        <v>0</v>
      </c>
      <c r="N91" t="inlineStr">
        <is>
          <t>d0d8dd</t>
        </is>
      </c>
      <c r="O91" t="inlineStr">
        <is>
          <t>L</t>
        </is>
      </c>
      <c r="Q91" t="n">
        <v>3</v>
      </c>
      <c r="R91" t="b">
        <v>1</v>
      </c>
      <c r="S91" t="inlineStr">
        <is>
          <t xml:space="preserve"> </t>
        </is>
      </c>
      <c r="T91" t="n">
        <v>0</v>
      </c>
    </row>
    <row r="92">
      <c r="A92" t="inlineStr">
        <is>
          <t>policy_checklist1_text5_response1</t>
        </is>
      </c>
      <c r="B92" t="n">
        <v>6</v>
      </c>
      <c r="C92" t="inlineStr">
        <is>
          <t>T</t>
        </is>
      </c>
      <c r="D92" t="n">
        <v>113</v>
      </c>
      <c r="E92" t="n">
        <v>179</v>
      </c>
      <c r="F92" t="n">
        <v>140</v>
      </c>
      <c r="G92" t="n">
        <v>182</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policy_checklist1_text5_response2</t>
        </is>
      </c>
      <c r="B93" t="n">
        <v>6</v>
      </c>
      <c r="C93" t="inlineStr">
        <is>
          <t>T</t>
        </is>
      </c>
      <c r="D93" t="n">
        <v>140</v>
      </c>
      <c r="E93" t="n">
        <v>179</v>
      </c>
      <c r="F93" t="n">
        <v>169</v>
      </c>
      <c r="G93" t="n">
        <v>182</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policy_checklist1_text5_response3</t>
        </is>
      </c>
      <c r="B94" t="n">
        <v>6</v>
      </c>
      <c r="C94" t="inlineStr">
        <is>
          <t>T</t>
        </is>
      </c>
      <c r="D94" t="n">
        <v>168</v>
      </c>
      <c r="E94" t="n">
        <v>179</v>
      </c>
      <c r="F94" t="n">
        <v>194</v>
      </c>
      <c r="G94" t="n">
        <v>182</v>
      </c>
      <c r="H94" t="inlineStr">
        <is>
          <t>dejavu</t>
        </is>
      </c>
      <c r="I94" t="n">
        <v>16</v>
      </c>
      <c r="J94" t="n">
        <v>1</v>
      </c>
      <c r="K94" t="n">
        <v>0</v>
      </c>
      <c r="L94" t="n">
        <v>0</v>
      </c>
      <c r="N94" t="inlineStr">
        <is>
          <t>d0d8dd</t>
        </is>
      </c>
      <c r="O94" t="inlineStr">
        <is>
          <t>C</t>
        </is>
      </c>
      <c r="Q94" t="n">
        <v>2</v>
      </c>
      <c r="R94" t="b">
        <v>0</v>
      </c>
      <c r="S94" t="inlineStr">
        <is>
          <t xml:space="preserve"> </t>
        </is>
      </c>
      <c r="T94" t="n">
        <v>0</v>
      </c>
    </row>
    <row r="95">
      <c r="A95" t="inlineStr">
        <is>
          <t>relative neighbourhood walkability</t>
        </is>
      </c>
      <c r="B95" t="n">
        <v>-999</v>
      </c>
      <c r="C95" t="inlineStr">
        <is>
          <t>T</t>
        </is>
      </c>
      <c r="D95" t="n">
        <v>127</v>
      </c>
      <c r="E95" t="n">
        <v>13</v>
      </c>
      <c r="F95" t="n">
        <v>205</v>
      </c>
      <c r="G95" t="n">
        <v>18</v>
      </c>
      <c r="H95" t="inlineStr">
        <is>
          <t>custom</t>
        </is>
      </c>
      <c r="I95" t="n">
        <v>14</v>
      </c>
      <c r="J95" t="n">
        <v>1</v>
      </c>
      <c r="K95" t="n">
        <v>0</v>
      </c>
      <c r="L95" t="n">
        <v>0</v>
      </c>
      <c r="N95" t="inlineStr">
        <is>
          <t>FFFFFF</t>
        </is>
      </c>
      <c r="O95" t="inlineStr">
        <is>
          <t>L</t>
        </is>
      </c>
      <c r="Q95" t="n">
        <v>2</v>
      </c>
      <c r="R95" t="b">
        <v>1</v>
      </c>
      <c r="S95" t="inlineStr">
        <is>
          <t xml:space="preserve"> </t>
        </is>
      </c>
      <c r="T95" t="n">
        <v>0</v>
      </c>
    </row>
    <row r="96">
      <c r="A96" t="inlineStr">
        <is>
          <t>walkability_header</t>
        </is>
      </c>
      <c r="B96" t="n">
        <v>6</v>
      </c>
      <c r="C96" t="inlineStr">
        <is>
          <t>T</t>
        </is>
      </c>
      <c r="D96" t="n">
        <v>14</v>
      </c>
      <c r="E96" t="n">
        <v>215</v>
      </c>
      <c r="F96" t="n">
        <v>196</v>
      </c>
      <c r="G96" t="n">
        <v>220</v>
      </c>
      <c r="H96" t="inlineStr">
        <is>
          <t>custom</t>
        </is>
      </c>
      <c r="I96" t="n">
        <v>14</v>
      </c>
      <c r="J96" t="n">
        <v>1</v>
      </c>
      <c r="K96" t="n">
        <v>0</v>
      </c>
      <c r="L96" t="n">
        <v>0</v>
      </c>
      <c r="N96" t="inlineStr">
        <is>
          <t>FFFFFF</t>
        </is>
      </c>
      <c r="O96" t="inlineStr">
        <is>
          <t>L</t>
        </is>
      </c>
      <c r="Q96" t="n">
        <v>3</v>
      </c>
      <c r="R96" t="b">
        <v>1</v>
      </c>
      <c r="S96" t="inlineStr">
        <is>
          <t xml:space="preserve"> </t>
        </is>
      </c>
      <c r="T96" t="n">
        <v>0</v>
      </c>
    </row>
    <row r="97">
      <c r="A97" t="inlineStr">
        <is>
          <t>walkability_description</t>
        </is>
      </c>
      <c r="B97" t="n">
        <v>6</v>
      </c>
      <c r="C97" t="inlineStr">
        <is>
          <t>T</t>
        </is>
      </c>
      <c r="D97" t="n">
        <v>14</v>
      </c>
      <c r="E97" t="n">
        <v>228</v>
      </c>
      <c r="F97" t="n">
        <v>196</v>
      </c>
      <c r="G97" t="n">
        <v>233</v>
      </c>
      <c r="H97" t="inlineStr">
        <is>
          <t>custom</t>
        </is>
      </c>
      <c r="I97" t="n">
        <v>12</v>
      </c>
      <c r="J97" t="n">
        <v>0</v>
      </c>
      <c r="K97" t="n">
        <v>0</v>
      </c>
      <c r="L97" t="n">
        <v>0</v>
      </c>
      <c r="N97" t="inlineStr">
        <is>
          <t>FFFFFF</t>
        </is>
      </c>
      <c r="O97" t="inlineStr">
        <is>
          <t>L</t>
        </is>
      </c>
      <c r="P97" s="1" t="n"/>
      <c r="Q97" t="n">
        <v>1</v>
      </c>
      <c r="R97" t="b">
        <v>1</v>
      </c>
      <c r="S97" t="inlineStr">
        <is>
          <t xml:space="preserve"> </t>
        </is>
      </c>
      <c r="T97" t="n">
        <v>0</v>
      </c>
    </row>
    <row r="98">
      <c r="A98" t="inlineStr">
        <is>
          <t>policy_box_checklist2</t>
        </is>
      </c>
      <c r="B98" t="n">
        <v>7</v>
      </c>
      <c r="C98" t="inlineStr">
        <is>
          <t>B</t>
        </is>
      </c>
      <c r="D98" t="n">
        <v>0</v>
      </c>
      <c r="E98" t="n">
        <v>30</v>
      </c>
      <c r="F98" t="n">
        <v>210</v>
      </c>
      <c r="G98" t="n">
        <v>267</v>
      </c>
      <c r="I98" t="n">
        <v>0</v>
      </c>
      <c r="J98" t="n">
        <v>1</v>
      </c>
      <c r="K98" t="n">
        <v>0</v>
      </c>
      <c r="L98" t="n">
        <v>0</v>
      </c>
      <c r="M98" t="inlineStr">
        <is>
          <t>eceaf8</t>
        </is>
      </c>
      <c r="N98" t="inlineStr">
        <is>
          <t>d0d8dd</t>
        </is>
      </c>
      <c r="O98" t="inlineStr">
        <is>
          <t>L</t>
        </is>
      </c>
      <c r="Q98" t="n">
        <v>2</v>
      </c>
      <c r="R98" t="b">
        <v>0</v>
      </c>
      <c r="S98" t="inlineStr">
        <is>
          <t xml:space="preserve"> </t>
        </is>
      </c>
      <c r="T98" t="n">
        <v>0</v>
      </c>
    </row>
    <row r="99">
      <c r="A99" t="inlineStr">
        <is>
          <t>policy_checklist2_title</t>
        </is>
      </c>
      <c r="B99" t="n">
        <v>7</v>
      </c>
      <c r="C99" t="inlineStr">
        <is>
          <t>T</t>
        </is>
      </c>
      <c r="D99" t="n">
        <v>14</v>
      </c>
      <c r="E99" t="n">
        <v>20</v>
      </c>
      <c r="F99" t="n">
        <v>196</v>
      </c>
      <c r="G99" t="n">
        <v>25</v>
      </c>
      <c r="H99" t="inlineStr">
        <is>
          <t>custom</t>
        </is>
      </c>
      <c r="I99" t="n">
        <v>12</v>
      </c>
      <c r="J99" t="n">
        <v>1</v>
      </c>
      <c r="K99" t="n">
        <v>0</v>
      </c>
      <c r="L99" t="n">
        <v>0</v>
      </c>
      <c r="N99" t="inlineStr">
        <is>
          <t>FFFFFF</t>
        </is>
      </c>
      <c r="O99" t="inlineStr">
        <is>
          <t>L</t>
        </is>
      </c>
      <c r="Q99" t="n">
        <v>3</v>
      </c>
      <c r="R99" t="b">
        <v>1</v>
      </c>
      <c r="S99" t="inlineStr">
        <is>
          <t xml:space="preserve"> </t>
        </is>
      </c>
      <c r="T99" t="n">
        <v>0</v>
      </c>
    </row>
    <row r="100">
      <c r="A100" t="inlineStr">
        <is>
          <t>policy_checklist_header1</t>
        </is>
      </c>
      <c r="B100" t="n">
        <v>7</v>
      </c>
      <c r="C100" t="inlineStr">
        <is>
          <t>T</t>
        </is>
      </c>
      <c r="D100" t="n">
        <v>113</v>
      </c>
      <c r="E100" t="n">
        <v>32</v>
      </c>
      <c r="F100" t="n">
        <v>140</v>
      </c>
      <c r="G100" t="n">
        <v>37</v>
      </c>
      <c r="H100" t="inlineStr">
        <is>
          <t>custom</t>
        </is>
      </c>
      <c r="I100" t="n">
        <v>10</v>
      </c>
      <c r="J100" t="n">
        <v>1</v>
      </c>
      <c r="K100" t="n">
        <v>0</v>
      </c>
      <c r="L100" t="n">
        <v>0</v>
      </c>
      <c r="N100" t="inlineStr">
        <is>
          <t>d0d8dd</t>
        </is>
      </c>
      <c r="O100" t="inlineStr">
        <is>
          <t>C</t>
        </is>
      </c>
      <c r="Q100" t="n">
        <v>3</v>
      </c>
      <c r="R100" t="b">
        <v>1</v>
      </c>
      <c r="S100" t="inlineStr">
        <is>
          <t xml:space="preserve"> </t>
        </is>
      </c>
      <c r="T100" t="n">
        <v>0</v>
      </c>
    </row>
    <row r="101">
      <c r="A101" t="inlineStr">
        <is>
          <t>policy_checklist_header2</t>
        </is>
      </c>
      <c r="B101" t="n">
        <v>7</v>
      </c>
      <c r="C101" t="inlineStr">
        <is>
          <t>T</t>
        </is>
      </c>
      <c r="D101" t="n">
        <v>140</v>
      </c>
      <c r="E101" t="n">
        <v>32</v>
      </c>
      <c r="F101" t="n">
        <v>169</v>
      </c>
      <c r="G101" t="n">
        <v>37</v>
      </c>
      <c r="H101" t="inlineStr">
        <is>
          <t>custom</t>
        </is>
      </c>
      <c r="I101" t="n">
        <v>10</v>
      </c>
      <c r="J101" t="n">
        <v>1</v>
      </c>
      <c r="K101" t="n">
        <v>0</v>
      </c>
      <c r="L101" t="n">
        <v>0</v>
      </c>
      <c r="N101" t="inlineStr">
        <is>
          <t>d0d8dd</t>
        </is>
      </c>
      <c r="O101" t="inlineStr">
        <is>
          <t>C</t>
        </is>
      </c>
      <c r="Q101" t="n">
        <v>3</v>
      </c>
      <c r="R101" t="b">
        <v>1</v>
      </c>
      <c r="S101" t="inlineStr">
        <is>
          <t xml:space="preserve"> </t>
        </is>
      </c>
      <c r="T101" t="n">
        <v>0</v>
      </c>
    </row>
    <row r="102">
      <c r="A102" t="inlineStr">
        <is>
          <t>policy_checklist_header3</t>
        </is>
      </c>
      <c r="B102" t="n">
        <v>7</v>
      </c>
      <c r="C102" t="inlineStr">
        <is>
          <t>T</t>
        </is>
      </c>
      <c r="D102" t="n">
        <v>168</v>
      </c>
      <c r="E102" t="n">
        <v>32</v>
      </c>
      <c r="F102" t="n">
        <v>194</v>
      </c>
      <c r="G102" t="n">
        <v>37</v>
      </c>
      <c r="H102" t="inlineStr">
        <is>
          <t>custom</t>
        </is>
      </c>
      <c r="I102" t="n">
        <v>10</v>
      </c>
      <c r="J102" t="n">
        <v>1</v>
      </c>
      <c r="K102" t="n">
        <v>0</v>
      </c>
      <c r="L102" t="n">
        <v>0</v>
      </c>
      <c r="N102" t="inlineStr">
        <is>
          <t>d0d8dd</t>
        </is>
      </c>
      <c r="O102" t="inlineStr">
        <is>
          <t>C</t>
        </is>
      </c>
      <c r="Q102" t="n">
        <v>3</v>
      </c>
      <c r="R102" t="b">
        <v>1</v>
      </c>
      <c r="S102" t="inlineStr">
        <is>
          <t xml:space="preserve"> </t>
        </is>
      </c>
      <c r="T102" t="n">
        <v>0</v>
      </c>
    </row>
    <row r="103">
      <c r="A103" t="inlineStr">
        <is>
          <t>table_vline1</t>
        </is>
      </c>
      <c r="B103" t="n">
        <v>7</v>
      </c>
      <c r="C103" t="inlineStr">
        <is>
          <t>L</t>
        </is>
      </c>
      <c r="D103" t="n">
        <v>114</v>
      </c>
      <c r="E103" t="n">
        <v>30</v>
      </c>
      <c r="F103" t="n">
        <v>114</v>
      </c>
      <c r="G103" t="n">
        <v>267</v>
      </c>
      <c r="I103" t="n">
        <v>0.5</v>
      </c>
      <c r="J103" t="n">
        <v>0</v>
      </c>
      <c r="K103" t="n">
        <v>0</v>
      </c>
      <c r="L103" t="n">
        <v>0</v>
      </c>
      <c r="M103" t="inlineStr">
        <is>
          <t>FFFFFF</t>
        </is>
      </c>
      <c r="N103" t="inlineStr">
        <is>
          <t>d0d8dd</t>
        </is>
      </c>
      <c r="O103" t="inlineStr">
        <is>
          <t>L</t>
        </is>
      </c>
      <c r="Q103" t="n">
        <v>4</v>
      </c>
      <c r="R103" t="b">
        <v>0</v>
      </c>
      <c r="S103" t="inlineStr">
        <is>
          <t xml:space="preserve"> </t>
        </is>
      </c>
      <c r="T103" t="n">
        <v>0</v>
      </c>
    </row>
    <row r="104">
      <c r="A104" t="inlineStr">
        <is>
          <t>table_vline2</t>
        </is>
      </c>
      <c r="B104" t="n">
        <v>7</v>
      </c>
      <c r="C104" t="inlineStr">
        <is>
          <t>L</t>
        </is>
      </c>
      <c r="D104" t="n">
        <v>141</v>
      </c>
      <c r="E104" t="n">
        <v>30</v>
      </c>
      <c r="F104" t="n">
        <v>141</v>
      </c>
      <c r="G104" t="n">
        <v>267</v>
      </c>
      <c r="I104" t="n">
        <v>0.5</v>
      </c>
      <c r="J104" t="n">
        <v>0</v>
      </c>
      <c r="K104" t="n">
        <v>0</v>
      </c>
      <c r="L104" t="n">
        <v>0</v>
      </c>
      <c r="M104" t="inlineStr">
        <is>
          <t>FFFFFF</t>
        </is>
      </c>
      <c r="N104" t="inlineStr">
        <is>
          <t>d0d8dd</t>
        </is>
      </c>
      <c r="O104" t="inlineStr">
        <is>
          <t>L</t>
        </is>
      </c>
      <c r="Q104" t="n">
        <v>4</v>
      </c>
      <c r="R104" t="b">
        <v>0</v>
      </c>
      <c r="S104" t="inlineStr">
        <is>
          <t xml:space="preserve"> </t>
        </is>
      </c>
      <c r="T104" t="n">
        <v>0</v>
      </c>
    </row>
    <row r="105">
      <c r="A105" t="inlineStr">
        <is>
          <t>table_vline3</t>
        </is>
      </c>
      <c r="B105" t="n">
        <v>7</v>
      </c>
      <c r="C105" t="inlineStr">
        <is>
          <t>L</t>
        </is>
      </c>
      <c r="D105" t="n">
        <v>168</v>
      </c>
      <c r="E105" t="n">
        <v>30</v>
      </c>
      <c r="F105" t="n">
        <v>168</v>
      </c>
      <c r="G105" t="n">
        <v>267</v>
      </c>
      <c r="I105" t="n">
        <v>0.5</v>
      </c>
      <c r="J105" t="n">
        <v>0</v>
      </c>
      <c r="K105" t="n">
        <v>0</v>
      </c>
      <c r="L105" t="n">
        <v>0</v>
      </c>
      <c r="M105" t="inlineStr">
        <is>
          <t>FFFFFF</t>
        </is>
      </c>
      <c r="N105" t="inlineStr">
        <is>
          <t>d0d8dd</t>
        </is>
      </c>
      <c r="O105" t="inlineStr">
        <is>
          <t>L</t>
        </is>
      </c>
      <c r="Q105" t="n">
        <v>4</v>
      </c>
      <c r="R105" t="b">
        <v>0</v>
      </c>
      <c r="S105" t="inlineStr">
        <is>
          <t xml:space="preserve"> </t>
        </is>
      </c>
      <c r="T105" t="n">
        <v>0</v>
      </c>
    </row>
    <row r="106">
      <c r="A106" t="inlineStr">
        <is>
          <t>table_hline_mid</t>
        </is>
      </c>
      <c r="B106" t="n">
        <v>7</v>
      </c>
      <c r="C106" t="inlineStr">
        <is>
          <t>L</t>
        </is>
      </c>
      <c r="D106" t="n">
        <v>14</v>
      </c>
      <c r="E106" t="n">
        <v>57</v>
      </c>
      <c r="F106" t="n">
        <v>196</v>
      </c>
      <c r="G106" t="n">
        <v>57</v>
      </c>
      <c r="I106" t="n">
        <v>0.5</v>
      </c>
      <c r="J106" t="n">
        <v>0</v>
      </c>
      <c r="K106" t="n">
        <v>0</v>
      </c>
      <c r="L106" t="n">
        <v>0</v>
      </c>
      <c r="M106" t="inlineStr">
        <is>
          <t>FFFFFF</t>
        </is>
      </c>
      <c r="N106" t="inlineStr">
        <is>
          <t>d0d8dd</t>
        </is>
      </c>
      <c r="O106" t="inlineStr">
        <is>
          <t>L</t>
        </is>
      </c>
      <c r="Q106" t="n">
        <v>4</v>
      </c>
      <c r="R106" t="b">
        <v>0</v>
      </c>
      <c r="S106" t="inlineStr">
        <is>
          <t xml:space="preserve"> </t>
        </is>
      </c>
      <c r="T106" t="n">
        <v>0</v>
      </c>
    </row>
    <row r="107">
      <c r="A107" t="inlineStr">
        <is>
          <t>Policy key</t>
        </is>
      </c>
      <c r="B107" t="n">
        <v>7</v>
      </c>
      <c r="C107" t="inlineStr">
        <is>
          <t>T</t>
        </is>
      </c>
      <c r="D107" t="n">
        <v>114</v>
      </c>
      <c r="E107" t="n">
        <v>269</v>
      </c>
      <c r="F107" t="n">
        <v>196</v>
      </c>
      <c r="G107" t="n">
        <v>273</v>
      </c>
      <c r="H107" t="inlineStr">
        <is>
          <t>custom</t>
        </is>
      </c>
      <c r="I107" t="n">
        <v>10</v>
      </c>
      <c r="J107" t="n">
        <v>0</v>
      </c>
      <c r="K107" t="n">
        <v>0</v>
      </c>
      <c r="L107" t="n">
        <v>0</v>
      </c>
      <c r="N107" t="inlineStr">
        <is>
          <t>FFFFFF</t>
        </is>
      </c>
      <c r="O107" t="inlineStr">
        <is>
          <t>R</t>
        </is>
      </c>
      <c r="Q107" t="n">
        <v>2</v>
      </c>
      <c r="R107" t="b">
        <v>0</v>
      </c>
      <c r="S107" t="inlineStr">
        <is>
          <t xml:space="preserve"> </t>
        </is>
      </c>
      <c r="T107" t="n">
        <v>0</v>
      </c>
    </row>
    <row r="108">
      <c r="A108" t="inlineStr">
        <is>
          <t>policy_checklist2_text1</t>
        </is>
      </c>
      <c r="B108" t="n">
        <v>7</v>
      </c>
      <c r="C108" t="inlineStr">
        <is>
          <t>T</t>
        </is>
      </c>
      <c r="D108" t="n">
        <v>14</v>
      </c>
      <c r="E108" t="n">
        <v>59</v>
      </c>
      <c r="F108" t="n">
        <v>112</v>
      </c>
      <c r="G108" t="n">
        <v>64</v>
      </c>
      <c r="H108" t="inlineStr">
        <is>
          <t>custom</t>
        </is>
      </c>
      <c r="I108" t="n">
        <v>12</v>
      </c>
      <c r="J108" t="n">
        <v>0</v>
      </c>
      <c r="K108" t="n">
        <v>0</v>
      </c>
      <c r="L108" t="n">
        <v>0</v>
      </c>
      <c r="N108" t="inlineStr">
        <is>
          <t>d0d8dd</t>
        </is>
      </c>
      <c r="O108" t="inlineStr">
        <is>
          <t>L</t>
        </is>
      </c>
      <c r="Q108" t="n">
        <v>3</v>
      </c>
      <c r="R108" t="b">
        <v>1</v>
      </c>
      <c r="S108" t="inlineStr">
        <is>
          <t xml:space="preserve"> </t>
        </is>
      </c>
      <c r="T108" t="n">
        <v>0</v>
      </c>
    </row>
    <row r="109">
      <c r="A109" t="inlineStr">
        <is>
          <t>policy_checklist2_text1_response1</t>
        </is>
      </c>
      <c r="B109" t="n">
        <v>7</v>
      </c>
      <c r="C109" t="inlineStr">
        <is>
          <t>T</t>
        </is>
      </c>
      <c r="D109" t="n">
        <v>113</v>
      </c>
      <c r="E109" t="n">
        <v>60</v>
      </c>
      <c r="F109" t="n">
        <v>140</v>
      </c>
      <c r="G109" t="n">
        <v>63</v>
      </c>
      <c r="H109" t="inlineStr">
        <is>
          <t>dejavu</t>
        </is>
      </c>
      <c r="I109" t="n">
        <v>16</v>
      </c>
      <c r="J109" t="n">
        <v>1</v>
      </c>
      <c r="K109" t="n">
        <v>0</v>
      </c>
      <c r="L109" t="n">
        <v>0</v>
      </c>
      <c r="N109" t="inlineStr">
        <is>
          <t>d0d8dd</t>
        </is>
      </c>
      <c r="O109" t="inlineStr">
        <is>
          <t>C</t>
        </is>
      </c>
      <c r="Q109" t="n">
        <v>2</v>
      </c>
      <c r="R109" t="b">
        <v>0</v>
      </c>
      <c r="S109" t="inlineStr">
        <is>
          <t xml:space="preserve"> </t>
        </is>
      </c>
      <c r="T109" t="n">
        <v>0</v>
      </c>
    </row>
    <row r="110">
      <c r="A110" t="inlineStr">
        <is>
          <t>policy_checklist2_text1_response2</t>
        </is>
      </c>
      <c r="B110" t="n">
        <v>7</v>
      </c>
      <c r="C110" t="inlineStr">
        <is>
          <t>T</t>
        </is>
      </c>
      <c r="D110" t="n">
        <v>140</v>
      </c>
      <c r="E110" t="n">
        <v>60</v>
      </c>
      <c r="F110" t="n">
        <v>169</v>
      </c>
      <c r="G110" t="n">
        <v>63</v>
      </c>
      <c r="H110" t="inlineStr">
        <is>
          <t>dejavu</t>
        </is>
      </c>
      <c r="I110" t="n">
        <v>16</v>
      </c>
      <c r="J110" t="n">
        <v>1</v>
      </c>
      <c r="K110" t="n">
        <v>0</v>
      </c>
      <c r="L110" t="n">
        <v>0</v>
      </c>
      <c r="N110" t="inlineStr">
        <is>
          <t>d0d8dd</t>
        </is>
      </c>
      <c r="O110" t="inlineStr">
        <is>
          <t>C</t>
        </is>
      </c>
      <c r="Q110" t="n">
        <v>2</v>
      </c>
      <c r="R110" t="b">
        <v>0</v>
      </c>
      <c r="S110" t="inlineStr">
        <is>
          <t xml:space="preserve"> </t>
        </is>
      </c>
      <c r="T110" t="n">
        <v>0</v>
      </c>
    </row>
    <row r="111">
      <c r="A111" t="inlineStr">
        <is>
          <t>policy_checklist2_text1_response3</t>
        </is>
      </c>
      <c r="B111" t="n">
        <v>7</v>
      </c>
      <c r="C111" t="inlineStr">
        <is>
          <t>T</t>
        </is>
      </c>
      <c r="D111" t="n">
        <v>168</v>
      </c>
      <c r="E111" t="n">
        <v>60</v>
      </c>
      <c r="F111" t="n">
        <v>194</v>
      </c>
      <c r="G111" t="n">
        <v>63</v>
      </c>
      <c r="H111" t="inlineStr">
        <is>
          <t>dejavu</t>
        </is>
      </c>
      <c r="I111" t="n">
        <v>16</v>
      </c>
      <c r="J111" t="n">
        <v>1</v>
      </c>
      <c r="K111" t="n">
        <v>0</v>
      </c>
      <c r="L111" t="n">
        <v>0</v>
      </c>
      <c r="N111" t="inlineStr">
        <is>
          <t>d0d8dd</t>
        </is>
      </c>
      <c r="O111" t="inlineStr">
        <is>
          <t>C</t>
        </is>
      </c>
      <c r="Q111" t="n">
        <v>2</v>
      </c>
      <c r="R111" t="b">
        <v>0</v>
      </c>
      <c r="S111" t="inlineStr">
        <is>
          <t xml:space="preserve"> </t>
        </is>
      </c>
      <c r="T111" t="n">
        <v>0</v>
      </c>
    </row>
    <row r="112">
      <c r="A112" t="inlineStr">
        <is>
          <t>policy_checklist2_text2</t>
        </is>
      </c>
      <c r="B112" t="n">
        <v>7</v>
      </c>
      <c r="C112" t="inlineStr">
        <is>
          <t>T</t>
        </is>
      </c>
      <c r="D112" t="n">
        <v>14</v>
      </c>
      <c r="E112" t="n">
        <v>71</v>
      </c>
      <c r="F112" t="n">
        <v>112</v>
      </c>
      <c r="G112" t="n">
        <v>76</v>
      </c>
      <c r="H112" t="inlineStr">
        <is>
          <t>custom</t>
        </is>
      </c>
      <c r="I112" t="n">
        <v>12</v>
      </c>
      <c r="J112" t="n">
        <v>0</v>
      </c>
      <c r="K112" t="n">
        <v>0</v>
      </c>
      <c r="L112" t="n">
        <v>0</v>
      </c>
      <c r="N112" t="inlineStr">
        <is>
          <t>d0d8dd</t>
        </is>
      </c>
      <c r="O112" t="inlineStr">
        <is>
          <t>L</t>
        </is>
      </c>
      <c r="Q112" t="n">
        <v>3</v>
      </c>
      <c r="R112" t="b">
        <v>1</v>
      </c>
      <c r="S112" t="inlineStr">
        <is>
          <t xml:space="preserve"> </t>
        </is>
      </c>
      <c r="T112" t="n">
        <v>0</v>
      </c>
    </row>
    <row r="113">
      <c r="A113" t="inlineStr">
        <is>
          <t>policy_checklist2_text2_response1</t>
        </is>
      </c>
      <c r="B113" t="n">
        <v>7</v>
      </c>
      <c r="C113" t="inlineStr">
        <is>
          <t>T</t>
        </is>
      </c>
      <c r="D113" t="n">
        <v>113</v>
      </c>
      <c r="E113" t="n">
        <v>72</v>
      </c>
      <c r="F113" t="n">
        <v>140</v>
      </c>
      <c r="G113" t="n">
        <v>75</v>
      </c>
      <c r="H113" t="inlineStr">
        <is>
          <t>dejavu</t>
        </is>
      </c>
      <c r="I113" t="n">
        <v>16</v>
      </c>
      <c r="J113" t="n">
        <v>1</v>
      </c>
      <c r="K113" t="n">
        <v>0</v>
      </c>
      <c r="L113" t="n">
        <v>0</v>
      </c>
      <c r="N113" t="inlineStr">
        <is>
          <t>d0d8dd</t>
        </is>
      </c>
      <c r="O113" t="inlineStr">
        <is>
          <t>C</t>
        </is>
      </c>
      <c r="Q113" t="n">
        <v>2</v>
      </c>
      <c r="R113" t="b">
        <v>0</v>
      </c>
      <c r="S113" t="inlineStr">
        <is>
          <t xml:space="preserve"> </t>
        </is>
      </c>
      <c r="T113" t="n">
        <v>0</v>
      </c>
    </row>
    <row r="114">
      <c r="A114" t="inlineStr">
        <is>
          <t>policy_checklist2_text2_response2</t>
        </is>
      </c>
      <c r="B114" t="n">
        <v>7</v>
      </c>
      <c r="C114" t="inlineStr">
        <is>
          <t>T</t>
        </is>
      </c>
      <c r="D114" t="n">
        <v>140</v>
      </c>
      <c r="E114" t="n">
        <v>72</v>
      </c>
      <c r="F114" t="n">
        <v>169</v>
      </c>
      <c r="G114" t="n">
        <v>75</v>
      </c>
      <c r="H114" t="inlineStr">
        <is>
          <t>dejavu</t>
        </is>
      </c>
      <c r="I114" t="n">
        <v>16</v>
      </c>
      <c r="J114" t="n">
        <v>1</v>
      </c>
      <c r="K114" t="n">
        <v>0</v>
      </c>
      <c r="L114" t="n">
        <v>0</v>
      </c>
      <c r="N114" t="inlineStr">
        <is>
          <t>d0d8dd</t>
        </is>
      </c>
      <c r="O114" t="inlineStr">
        <is>
          <t>C</t>
        </is>
      </c>
      <c r="Q114" t="n">
        <v>2</v>
      </c>
      <c r="R114" t="b">
        <v>0</v>
      </c>
      <c r="S114" t="inlineStr">
        <is>
          <t xml:space="preserve"> </t>
        </is>
      </c>
      <c r="T114" t="n">
        <v>0</v>
      </c>
    </row>
    <row r="115">
      <c r="A115" t="inlineStr">
        <is>
          <t>policy_checklist2_text2_response3</t>
        </is>
      </c>
      <c r="B115" t="n">
        <v>7</v>
      </c>
      <c r="C115" t="inlineStr">
        <is>
          <t>T</t>
        </is>
      </c>
      <c r="D115" t="n">
        <v>168</v>
      </c>
      <c r="E115" t="n">
        <v>72</v>
      </c>
      <c r="F115" t="n">
        <v>194</v>
      </c>
      <c r="G115" t="n">
        <v>75</v>
      </c>
      <c r="H115" t="inlineStr">
        <is>
          <t>dejavu</t>
        </is>
      </c>
      <c r="I115" t="n">
        <v>16</v>
      </c>
      <c r="J115" t="n">
        <v>1</v>
      </c>
      <c r="K115" t="n">
        <v>0</v>
      </c>
      <c r="L115" t="n">
        <v>0</v>
      </c>
      <c r="N115" t="inlineStr">
        <is>
          <t>d0d8dd</t>
        </is>
      </c>
      <c r="O115" t="inlineStr">
        <is>
          <t>C</t>
        </is>
      </c>
      <c r="Q115" t="n">
        <v>2</v>
      </c>
      <c r="R115" t="b">
        <v>0</v>
      </c>
      <c r="S115" t="inlineStr">
        <is>
          <t xml:space="preserve"> </t>
        </is>
      </c>
      <c r="T115" t="n">
        <v>0</v>
      </c>
    </row>
    <row r="116">
      <c r="A116" t="inlineStr">
        <is>
          <t>policy_checklist2_text3</t>
        </is>
      </c>
      <c r="B116" t="n">
        <v>7</v>
      </c>
      <c r="C116" t="inlineStr">
        <is>
          <t>T</t>
        </is>
      </c>
      <c r="D116" t="n">
        <v>14</v>
      </c>
      <c r="E116" t="n">
        <v>83</v>
      </c>
      <c r="F116" t="n">
        <v>112</v>
      </c>
      <c r="G116" t="n">
        <v>88</v>
      </c>
      <c r="H116" t="inlineStr">
        <is>
          <t>custom</t>
        </is>
      </c>
      <c r="I116" t="n">
        <v>12</v>
      </c>
      <c r="J116" t="n">
        <v>0</v>
      </c>
      <c r="K116" t="n">
        <v>0</v>
      </c>
      <c r="L116" t="n">
        <v>0</v>
      </c>
      <c r="N116" t="inlineStr">
        <is>
          <t>d0d8dd</t>
        </is>
      </c>
      <c r="O116" t="inlineStr">
        <is>
          <t>L</t>
        </is>
      </c>
      <c r="Q116" t="n">
        <v>3</v>
      </c>
      <c r="R116" t="b">
        <v>1</v>
      </c>
      <c r="S116" t="inlineStr">
        <is>
          <t xml:space="preserve"> </t>
        </is>
      </c>
      <c r="T116" t="n">
        <v>0</v>
      </c>
    </row>
    <row r="117">
      <c r="A117" t="inlineStr">
        <is>
          <t>policy_checklist2_text3_response1</t>
        </is>
      </c>
      <c r="B117" t="n">
        <v>7</v>
      </c>
      <c r="C117" t="inlineStr">
        <is>
          <t>T</t>
        </is>
      </c>
      <c r="D117" t="n">
        <v>113</v>
      </c>
      <c r="E117" t="n">
        <v>84</v>
      </c>
      <c r="F117" t="n">
        <v>140</v>
      </c>
      <c r="G117" t="n">
        <v>87</v>
      </c>
      <c r="H117" t="inlineStr">
        <is>
          <t>dejavu</t>
        </is>
      </c>
      <c r="I117" t="n">
        <v>16</v>
      </c>
      <c r="J117" t="n">
        <v>1</v>
      </c>
      <c r="K117" t="n">
        <v>0</v>
      </c>
      <c r="L117" t="n">
        <v>0</v>
      </c>
      <c r="N117" t="inlineStr">
        <is>
          <t>d0d8dd</t>
        </is>
      </c>
      <c r="O117" t="inlineStr">
        <is>
          <t>C</t>
        </is>
      </c>
      <c r="Q117" t="n">
        <v>2</v>
      </c>
      <c r="R117" t="b">
        <v>0</v>
      </c>
      <c r="S117" t="inlineStr">
        <is>
          <t xml:space="preserve"> </t>
        </is>
      </c>
      <c r="T117" t="n">
        <v>0</v>
      </c>
    </row>
    <row r="118">
      <c r="A118" t="inlineStr">
        <is>
          <t>policy_checklist2_text3_response2</t>
        </is>
      </c>
      <c r="B118" t="n">
        <v>7</v>
      </c>
      <c r="C118" t="inlineStr">
        <is>
          <t>T</t>
        </is>
      </c>
      <c r="D118" t="n">
        <v>140</v>
      </c>
      <c r="E118" t="n">
        <v>84</v>
      </c>
      <c r="F118" t="n">
        <v>169</v>
      </c>
      <c r="G118" t="n">
        <v>87</v>
      </c>
      <c r="H118" t="inlineStr">
        <is>
          <t>dejavu</t>
        </is>
      </c>
      <c r="I118" t="n">
        <v>16</v>
      </c>
      <c r="J118" t="n">
        <v>1</v>
      </c>
      <c r="K118" t="n">
        <v>0</v>
      </c>
      <c r="L118" t="n">
        <v>0</v>
      </c>
      <c r="N118" t="inlineStr">
        <is>
          <t>d0d8dd</t>
        </is>
      </c>
      <c r="O118" t="inlineStr">
        <is>
          <t>C</t>
        </is>
      </c>
      <c r="Q118" t="n">
        <v>2</v>
      </c>
      <c r="R118" t="b">
        <v>0</v>
      </c>
      <c r="S118" t="inlineStr">
        <is>
          <t xml:space="preserve"> </t>
        </is>
      </c>
      <c r="T118" t="n">
        <v>0</v>
      </c>
    </row>
    <row r="119">
      <c r="A119" t="inlineStr">
        <is>
          <t>policy_checklist2_text3_response3</t>
        </is>
      </c>
      <c r="B119" t="n">
        <v>7</v>
      </c>
      <c r="C119" t="inlineStr">
        <is>
          <t>T</t>
        </is>
      </c>
      <c r="D119" t="n">
        <v>168</v>
      </c>
      <c r="E119" t="n">
        <v>84</v>
      </c>
      <c r="F119" t="n">
        <v>194</v>
      </c>
      <c r="G119" t="n">
        <v>87</v>
      </c>
      <c r="H119" t="inlineStr">
        <is>
          <t>dejavu</t>
        </is>
      </c>
      <c r="I119" t="n">
        <v>16</v>
      </c>
      <c r="J119" t="n">
        <v>1</v>
      </c>
      <c r="K119" t="n">
        <v>0</v>
      </c>
      <c r="L119" t="n">
        <v>0</v>
      </c>
      <c r="N119" t="inlineStr">
        <is>
          <t>d0d8dd</t>
        </is>
      </c>
      <c r="O119" t="inlineStr">
        <is>
          <t>C</t>
        </is>
      </c>
      <c r="Q119" t="n">
        <v>2</v>
      </c>
      <c r="R119" t="b">
        <v>0</v>
      </c>
      <c r="S119" t="inlineStr">
        <is>
          <t xml:space="preserve"> </t>
        </is>
      </c>
      <c r="T119" t="n">
        <v>0</v>
      </c>
    </row>
    <row r="120">
      <c r="A120" t="inlineStr">
        <is>
          <t>policy_checklist2_text4</t>
        </is>
      </c>
      <c r="B120" t="n">
        <v>7</v>
      </c>
      <c r="C120" t="inlineStr">
        <is>
          <t>T</t>
        </is>
      </c>
      <c r="D120" t="n">
        <v>14</v>
      </c>
      <c r="E120" t="n">
        <v>95</v>
      </c>
      <c r="F120" t="n">
        <v>112</v>
      </c>
      <c r="G120" t="n">
        <v>100</v>
      </c>
      <c r="H120" t="inlineStr">
        <is>
          <t>custom</t>
        </is>
      </c>
      <c r="I120" t="n">
        <v>12</v>
      </c>
      <c r="J120" t="n">
        <v>0</v>
      </c>
      <c r="K120" t="n">
        <v>0</v>
      </c>
      <c r="L120" t="n">
        <v>0</v>
      </c>
      <c r="N120" t="inlineStr">
        <is>
          <t>d0d8dd</t>
        </is>
      </c>
      <c r="O120" t="inlineStr">
        <is>
          <t>L</t>
        </is>
      </c>
      <c r="Q120" t="n">
        <v>3</v>
      </c>
      <c r="R120" t="b">
        <v>1</v>
      </c>
      <c r="S120" t="inlineStr">
        <is>
          <t xml:space="preserve"> </t>
        </is>
      </c>
      <c r="T120" t="n">
        <v>0</v>
      </c>
    </row>
    <row r="121">
      <c r="A121" t="inlineStr">
        <is>
          <t>policy_checklist2_text4_response1</t>
        </is>
      </c>
      <c r="B121" t="n">
        <v>7</v>
      </c>
      <c r="C121" t="inlineStr">
        <is>
          <t>T</t>
        </is>
      </c>
      <c r="D121" t="n">
        <v>113</v>
      </c>
      <c r="E121" t="n">
        <v>96</v>
      </c>
      <c r="F121" t="n">
        <v>140</v>
      </c>
      <c r="G121" t="n">
        <v>99</v>
      </c>
      <c r="H121" t="inlineStr">
        <is>
          <t>dejavu</t>
        </is>
      </c>
      <c r="I121" t="n">
        <v>16</v>
      </c>
      <c r="J121" t="n">
        <v>1</v>
      </c>
      <c r="K121" t="n">
        <v>0</v>
      </c>
      <c r="L121" t="n">
        <v>0</v>
      </c>
      <c r="N121" t="inlineStr">
        <is>
          <t>d0d8dd</t>
        </is>
      </c>
      <c r="O121" t="inlineStr">
        <is>
          <t>C</t>
        </is>
      </c>
      <c r="Q121" t="n">
        <v>2</v>
      </c>
      <c r="R121" t="b">
        <v>0</v>
      </c>
      <c r="S121" t="inlineStr">
        <is>
          <t xml:space="preserve"> </t>
        </is>
      </c>
      <c r="T121" t="n">
        <v>0</v>
      </c>
    </row>
    <row r="122">
      <c r="A122" t="inlineStr">
        <is>
          <t>policy_checklist2_text4_response2</t>
        </is>
      </c>
      <c r="B122" t="n">
        <v>7</v>
      </c>
      <c r="C122" t="inlineStr">
        <is>
          <t>T</t>
        </is>
      </c>
      <c r="D122" t="n">
        <v>140</v>
      </c>
      <c r="E122" t="n">
        <v>96</v>
      </c>
      <c r="F122" t="n">
        <v>169</v>
      </c>
      <c r="G122" t="n">
        <v>99</v>
      </c>
      <c r="H122" t="inlineStr">
        <is>
          <t>dejavu</t>
        </is>
      </c>
      <c r="I122" t="n">
        <v>16</v>
      </c>
      <c r="J122" t="n">
        <v>1</v>
      </c>
      <c r="K122" t="n">
        <v>0</v>
      </c>
      <c r="L122" t="n">
        <v>0</v>
      </c>
      <c r="N122" t="inlineStr">
        <is>
          <t>d0d8dd</t>
        </is>
      </c>
      <c r="O122" t="inlineStr">
        <is>
          <t>C</t>
        </is>
      </c>
      <c r="Q122" t="n">
        <v>2</v>
      </c>
      <c r="R122" t="b">
        <v>0</v>
      </c>
      <c r="S122" t="inlineStr">
        <is>
          <t xml:space="preserve"> </t>
        </is>
      </c>
      <c r="T122" t="n">
        <v>0</v>
      </c>
    </row>
    <row r="123">
      <c r="A123" t="inlineStr">
        <is>
          <t>policy_checklist2_text4_response3</t>
        </is>
      </c>
      <c r="B123" t="n">
        <v>7</v>
      </c>
      <c r="C123" t="inlineStr">
        <is>
          <t>T</t>
        </is>
      </c>
      <c r="D123" t="n">
        <v>168</v>
      </c>
      <c r="E123" t="n">
        <v>96</v>
      </c>
      <c r="F123" t="n">
        <v>194</v>
      </c>
      <c r="G123" t="n">
        <v>99</v>
      </c>
      <c r="H123" t="inlineStr">
        <is>
          <t>dejavu</t>
        </is>
      </c>
      <c r="I123" t="n">
        <v>16</v>
      </c>
      <c r="J123" t="n">
        <v>1</v>
      </c>
      <c r="K123" t="n">
        <v>0</v>
      </c>
      <c r="L123" t="n">
        <v>0</v>
      </c>
      <c r="N123" t="inlineStr">
        <is>
          <t>d0d8dd</t>
        </is>
      </c>
      <c r="O123" t="inlineStr">
        <is>
          <t>C</t>
        </is>
      </c>
      <c r="Q123" t="n">
        <v>2</v>
      </c>
      <c r="R123" t="b">
        <v>0</v>
      </c>
      <c r="S123" t="inlineStr">
        <is>
          <t xml:space="preserve"> </t>
        </is>
      </c>
      <c r="T123" t="n">
        <v>0</v>
      </c>
    </row>
    <row r="124">
      <c r="A124" t="inlineStr">
        <is>
          <t>policy_checklist2_text5</t>
        </is>
      </c>
      <c r="B124" t="n">
        <v>7</v>
      </c>
      <c r="C124" t="inlineStr">
        <is>
          <t>T</t>
        </is>
      </c>
      <c r="D124" t="n">
        <v>14</v>
      </c>
      <c r="E124" t="n">
        <v>107</v>
      </c>
      <c r="F124" t="n">
        <v>112</v>
      </c>
      <c r="G124" t="n">
        <v>112</v>
      </c>
      <c r="H124" t="inlineStr">
        <is>
          <t>custom</t>
        </is>
      </c>
      <c r="I124" t="n">
        <v>12</v>
      </c>
      <c r="J124" t="n">
        <v>0</v>
      </c>
      <c r="K124" t="n">
        <v>0</v>
      </c>
      <c r="L124" t="n">
        <v>0</v>
      </c>
      <c r="N124" t="inlineStr">
        <is>
          <t>d0d8dd</t>
        </is>
      </c>
      <c r="O124" t="inlineStr">
        <is>
          <t>L</t>
        </is>
      </c>
      <c r="Q124" t="n">
        <v>3</v>
      </c>
      <c r="R124" t="b">
        <v>1</v>
      </c>
      <c r="S124" t="inlineStr">
        <is>
          <t xml:space="preserve"> </t>
        </is>
      </c>
      <c r="T124" t="n">
        <v>0</v>
      </c>
    </row>
    <row r="125">
      <c r="A125" t="inlineStr">
        <is>
          <t>policy_checklist2_text5_response1</t>
        </is>
      </c>
      <c r="B125" t="n">
        <v>7</v>
      </c>
      <c r="C125" t="inlineStr">
        <is>
          <t>T</t>
        </is>
      </c>
      <c r="D125" t="n">
        <v>113</v>
      </c>
      <c r="E125" t="n">
        <v>108</v>
      </c>
      <c r="F125" t="n">
        <v>140</v>
      </c>
      <c r="G125" t="n">
        <v>111</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policy_checklist2_text5_response2</t>
        </is>
      </c>
      <c r="B126" t="n">
        <v>7</v>
      </c>
      <c r="C126" t="inlineStr">
        <is>
          <t>T</t>
        </is>
      </c>
      <c r="D126" t="n">
        <v>140</v>
      </c>
      <c r="E126" t="n">
        <v>108</v>
      </c>
      <c r="F126" t="n">
        <v>169</v>
      </c>
      <c r="G126" t="n">
        <v>111</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policy_checklist2_text5_response3</t>
        </is>
      </c>
      <c r="B127" t="n">
        <v>7</v>
      </c>
      <c r="C127" t="inlineStr">
        <is>
          <t>T</t>
        </is>
      </c>
      <c r="D127" t="n">
        <v>168</v>
      </c>
      <c r="E127" t="n">
        <v>108</v>
      </c>
      <c r="F127" t="n">
        <v>194</v>
      </c>
      <c r="G127" t="n">
        <v>111</v>
      </c>
      <c r="H127" t="inlineStr">
        <is>
          <t>dejavu</t>
        </is>
      </c>
      <c r="I127" t="n">
        <v>16</v>
      </c>
      <c r="J127" t="n">
        <v>1</v>
      </c>
      <c r="K127" t="n">
        <v>0</v>
      </c>
      <c r="L127" t="n">
        <v>0</v>
      </c>
      <c r="N127" t="inlineStr">
        <is>
          <t>d0d8dd</t>
        </is>
      </c>
      <c r="O127" t="inlineStr">
        <is>
          <t>C</t>
        </is>
      </c>
      <c r="Q127" t="n">
        <v>2</v>
      </c>
      <c r="R127" t="b">
        <v>0</v>
      </c>
      <c r="S127" t="inlineStr">
        <is>
          <t xml:space="preserve"> </t>
        </is>
      </c>
      <c r="T127" t="n">
        <v>0</v>
      </c>
    </row>
    <row r="128">
      <c r="A128" t="inlineStr">
        <is>
          <t>policy_checklist2_text6</t>
        </is>
      </c>
      <c r="B128" t="n">
        <v>7</v>
      </c>
      <c r="C128" t="inlineStr">
        <is>
          <t>T</t>
        </is>
      </c>
      <c r="D128" t="n">
        <v>14</v>
      </c>
      <c r="E128" t="n">
        <v>119</v>
      </c>
      <c r="F128" t="n">
        <v>112</v>
      </c>
      <c r="G128" t="n">
        <v>124</v>
      </c>
      <c r="H128" t="inlineStr">
        <is>
          <t>custom</t>
        </is>
      </c>
      <c r="I128" t="n">
        <v>12</v>
      </c>
      <c r="J128" t="n">
        <v>0</v>
      </c>
      <c r="K128" t="n">
        <v>0</v>
      </c>
      <c r="L128" t="n">
        <v>0</v>
      </c>
      <c r="N128" t="inlineStr">
        <is>
          <t>d0d8dd</t>
        </is>
      </c>
      <c r="O128" t="inlineStr">
        <is>
          <t>L</t>
        </is>
      </c>
      <c r="Q128" t="n">
        <v>3</v>
      </c>
      <c r="R128" t="b">
        <v>1</v>
      </c>
      <c r="S128" t="inlineStr">
        <is>
          <t xml:space="preserve"> </t>
        </is>
      </c>
      <c r="T128" t="n">
        <v>0</v>
      </c>
    </row>
    <row r="129">
      <c r="A129" t="inlineStr">
        <is>
          <t>policy_checklist2_text6_response1</t>
        </is>
      </c>
      <c r="B129" t="n">
        <v>7</v>
      </c>
      <c r="C129" t="inlineStr">
        <is>
          <t>T</t>
        </is>
      </c>
      <c r="D129" t="n">
        <v>113</v>
      </c>
      <c r="E129" t="n">
        <v>120</v>
      </c>
      <c r="F129" t="n">
        <v>140</v>
      </c>
      <c r="G129" t="n">
        <v>123</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policy_checklist2_text6_response2</t>
        </is>
      </c>
      <c r="B130" t="n">
        <v>7</v>
      </c>
      <c r="C130" t="inlineStr">
        <is>
          <t>T</t>
        </is>
      </c>
      <c r="D130" t="n">
        <v>140</v>
      </c>
      <c r="E130" t="n">
        <v>120</v>
      </c>
      <c r="F130" t="n">
        <v>169</v>
      </c>
      <c r="G130" t="n">
        <v>123</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policy_checklist2_text6_response3</t>
        </is>
      </c>
      <c r="B131" t="n">
        <v>7</v>
      </c>
      <c r="C131" t="inlineStr">
        <is>
          <t>T</t>
        </is>
      </c>
      <c r="D131" t="n">
        <v>168</v>
      </c>
      <c r="E131" t="n">
        <v>120</v>
      </c>
      <c r="F131" t="n">
        <v>194</v>
      </c>
      <c r="G131" t="n">
        <v>123</v>
      </c>
      <c r="H131" t="inlineStr">
        <is>
          <t>dejavu</t>
        </is>
      </c>
      <c r="I131" t="n">
        <v>16</v>
      </c>
      <c r="J131" t="n">
        <v>1</v>
      </c>
      <c r="K131" t="n">
        <v>0</v>
      </c>
      <c r="L131" t="n">
        <v>0</v>
      </c>
      <c r="N131" t="inlineStr">
        <is>
          <t>d0d8dd</t>
        </is>
      </c>
      <c r="O131" t="inlineStr">
        <is>
          <t>C</t>
        </is>
      </c>
      <c r="Q131" t="n">
        <v>2</v>
      </c>
      <c r="R131" t="b">
        <v>0</v>
      </c>
      <c r="S131" t="inlineStr">
        <is>
          <t xml:space="preserve"> </t>
        </is>
      </c>
      <c r="T131" t="n">
        <v>0</v>
      </c>
    </row>
    <row r="132">
      <c r="A132" t="inlineStr">
        <is>
          <t>policy_checklist2_text7</t>
        </is>
      </c>
      <c r="B132" t="n">
        <v>7</v>
      </c>
      <c r="C132" t="inlineStr">
        <is>
          <t>T</t>
        </is>
      </c>
      <c r="D132" t="n">
        <v>14</v>
      </c>
      <c r="E132" t="n">
        <v>131</v>
      </c>
      <c r="F132" t="n">
        <v>112</v>
      </c>
      <c r="G132" t="n">
        <v>136</v>
      </c>
      <c r="H132" t="inlineStr">
        <is>
          <t>custom</t>
        </is>
      </c>
      <c r="I132" t="n">
        <v>12</v>
      </c>
      <c r="J132" t="n">
        <v>0</v>
      </c>
      <c r="K132" t="n">
        <v>0</v>
      </c>
      <c r="L132" t="n">
        <v>0</v>
      </c>
      <c r="N132" t="inlineStr">
        <is>
          <t>d0d8dd</t>
        </is>
      </c>
      <c r="O132" t="inlineStr">
        <is>
          <t>L</t>
        </is>
      </c>
      <c r="Q132" t="n">
        <v>3</v>
      </c>
      <c r="R132" t="b">
        <v>1</v>
      </c>
      <c r="S132" t="inlineStr">
        <is>
          <t xml:space="preserve"> </t>
        </is>
      </c>
      <c r="T132" t="n">
        <v>0</v>
      </c>
    </row>
    <row r="133">
      <c r="A133" t="inlineStr">
        <is>
          <t>policy_checklist2_text7_response1</t>
        </is>
      </c>
      <c r="B133" t="n">
        <v>7</v>
      </c>
      <c r="C133" t="inlineStr">
        <is>
          <t>T</t>
        </is>
      </c>
      <c r="D133" t="n">
        <v>113</v>
      </c>
      <c r="E133" t="n">
        <v>132</v>
      </c>
      <c r="F133" t="n">
        <v>140</v>
      </c>
      <c r="G133" t="n">
        <v>135</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policy_checklist2_text7_response2</t>
        </is>
      </c>
      <c r="B134" t="n">
        <v>7</v>
      </c>
      <c r="C134" t="inlineStr">
        <is>
          <t>T</t>
        </is>
      </c>
      <c r="D134" t="n">
        <v>140</v>
      </c>
      <c r="E134" t="n">
        <v>132</v>
      </c>
      <c r="F134" t="n">
        <v>169</v>
      </c>
      <c r="G134" t="n">
        <v>135</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policy_checklist2_text7_response3</t>
        </is>
      </c>
      <c r="B135" t="n">
        <v>7</v>
      </c>
      <c r="C135" t="inlineStr">
        <is>
          <t>T</t>
        </is>
      </c>
      <c r="D135" t="n">
        <v>168</v>
      </c>
      <c r="E135" t="n">
        <v>132</v>
      </c>
      <c r="F135" t="n">
        <v>194</v>
      </c>
      <c r="G135" t="n">
        <v>135</v>
      </c>
      <c r="H135" t="inlineStr">
        <is>
          <t>dejavu</t>
        </is>
      </c>
      <c r="I135" t="n">
        <v>16</v>
      </c>
      <c r="J135" t="n">
        <v>1</v>
      </c>
      <c r="K135" t="n">
        <v>0</v>
      </c>
      <c r="L135" t="n">
        <v>0</v>
      </c>
      <c r="N135" t="inlineStr">
        <is>
          <t>d0d8dd</t>
        </is>
      </c>
      <c r="O135" t="inlineStr">
        <is>
          <t>C</t>
        </is>
      </c>
      <c r="Q135" t="n">
        <v>2</v>
      </c>
      <c r="R135" t="b">
        <v>0</v>
      </c>
      <c r="S135" t="inlineStr">
        <is>
          <t xml:space="preserve"> </t>
        </is>
      </c>
      <c r="T135" t="n">
        <v>0</v>
      </c>
    </row>
    <row r="136">
      <c r="A136" t="inlineStr">
        <is>
          <t>policy_checklist2_text8</t>
        </is>
      </c>
      <c r="B136" t="n">
        <v>7</v>
      </c>
      <c r="C136" t="inlineStr">
        <is>
          <t>T</t>
        </is>
      </c>
      <c r="D136" t="n">
        <v>14</v>
      </c>
      <c r="E136" t="n">
        <v>143</v>
      </c>
      <c r="F136" t="n">
        <v>112</v>
      </c>
      <c r="G136" t="n">
        <v>148</v>
      </c>
      <c r="H136" t="inlineStr">
        <is>
          <t>custom</t>
        </is>
      </c>
      <c r="I136" t="n">
        <v>12</v>
      </c>
      <c r="J136" t="n">
        <v>0</v>
      </c>
      <c r="K136" t="n">
        <v>0</v>
      </c>
      <c r="L136" t="n">
        <v>0</v>
      </c>
      <c r="N136" t="inlineStr">
        <is>
          <t>d0d8dd</t>
        </is>
      </c>
      <c r="O136" t="inlineStr">
        <is>
          <t>L</t>
        </is>
      </c>
      <c r="Q136" t="n">
        <v>3</v>
      </c>
      <c r="R136" t="b">
        <v>1</v>
      </c>
      <c r="S136" t="inlineStr">
        <is>
          <t xml:space="preserve"> </t>
        </is>
      </c>
      <c r="T136" t="n">
        <v>0</v>
      </c>
    </row>
    <row r="137">
      <c r="A137" t="inlineStr">
        <is>
          <t>policy_checklist2_text8_response1</t>
        </is>
      </c>
      <c r="B137" t="n">
        <v>7</v>
      </c>
      <c r="C137" t="inlineStr">
        <is>
          <t>T</t>
        </is>
      </c>
      <c r="D137" t="n">
        <v>113</v>
      </c>
      <c r="E137" t="n">
        <v>144</v>
      </c>
      <c r="F137" t="n">
        <v>140</v>
      </c>
      <c r="G137" t="n">
        <v>147</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policy_checklist2_text8_response2</t>
        </is>
      </c>
      <c r="B138" t="n">
        <v>7</v>
      </c>
      <c r="C138" t="inlineStr">
        <is>
          <t>T</t>
        </is>
      </c>
      <c r="D138" t="n">
        <v>140</v>
      </c>
      <c r="E138" t="n">
        <v>144</v>
      </c>
      <c r="F138" t="n">
        <v>169</v>
      </c>
      <c r="G138" t="n">
        <v>147</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policy_checklist2_text8_response3</t>
        </is>
      </c>
      <c r="B139" t="n">
        <v>7</v>
      </c>
      <c r="C139" t="inlineStr">
        <is>
          <t>T</t>
        </is>
      </c>
      <c r="D139" t="n">
        <v>168</v>
      </c>
      <c r="E139" t="n">
        <v>144</v>
      </c>
      <c r="F139" t="n">
        <v>194</v>
      </c>
      <c r="G139" t="n">
        <v>147</v>
      </c>
      <c r="H139" t="inlineStr">
        <is>
          <t>dejavu</t>
        </is>
      </c>
      <c r="I139" t="n">
        <v>16</v>
      </c>
      <c r="J139" t="n">
        <v>1</v>
      </c>
      <c r="K139" t="n">
        <v>0</v>
      </c>
      <c r="L139" t="n">
        <v>0</v>
      </c>
      <c r="N139" t="inlineStr">
        <is>
          <t>d0d8dd</t>
        </is>
      </c>
      <c r="O139" t="inlineStr">
        <is>
          <t>C</t>
        </is>
      </c>
      <c r="Q139" t="n">
        <v>2</v>
      </c>
      <c r="R139" t="b">
        <v>0</v>
      </c>
      <c r="S139" t="inlineStr">
        <is>
          <t xml:space="preserve"> </t>
        </is>
      </c>
      <c r="T139" t="n">
        <v>0</v>
      </c>
    </row>
    <row r="140">
      <c r="A140" t="inlineStr">
        <is>
          <t>policy_checklist2_text9</t>
        </is>
      </c>
      <c r="B140" t="n">
        <v>7</v>
      </c>
      <c r="C140" t="inlineStr">
        <is>
          <t>T</t>
        </is>
      </c>
      <c r="D140" t="n">
        <v>14</v>
      </c>
      <c r="E140" t="n">
        <v>155</v>
      </c>
      <c r="F140" t="n">
        <v>112</v>
      </c>
      <c r="G140" t="n">
        <v>160</v>
      </c>
      <c r="H140" t="inlineStr">
        <is>
          <t>custom</t>
        </is>
      </c>
      <c r="I140" t="n">
        <v>12</v>
      </c>
      <c r="J140" t="n">
        <v>0</v>
      </c>
      <c r="K140" t="n">
        <v>0</v>
      </c>
      <c r="L140" t="n">
        <v>0</v>
      </c>
      <c r="N140" t="inlineStr">
        <is>
          <t>d0d8dd</t>
        </is>
      </c>
      <c r="O140" t="inlineStr">
        <is>
          <t>L</t>
        </is>
      </c>
      <c r="Q140" t="n">
        <v>3</v>
      </c>
      <c r="R140" t="b">
        <v>1</v>
      </c>
      <c r="S140" t="inlineStr">
        <is>
          <t xml:space="preserve"> </t>
        </is>
      </c>
      <c r="T140" t="n">
        <v>0</v>
      </c>
    </row>
    <row r="141">
      <c r="A141" t="inlineStr">
        <is>
          <t>policy_checklist2_text9_response1</t>
        </is>
      </c>
      <c r="B141" t="n">
        <v>7</v>
      </c>
      <c r="C141" t="inlineStr">
        <is>
          <t>T</t>
        </is>
      </c>
      <c r="D141" t="n">
        <v>113</v>
      </c>
      <c r="E141" t="n">
        <v>156</v>
      </c>
      <c r="F141" t="n">
        <v>140</v>
      </c>
      <c r="G141" t="n">
        <v>159</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policy_checklist2_text9_response2</t>
        </is>
      </c>
      <c r="B142" t="n">
        <v>7</v>
      </c>
      <c r="C142" t="inlineStr">
        <is>
          <t>T</t>
        </is>
      </c>
      <c r="D142" t="n">
        <v>140</v>
      </c>
      <c r="E142" t="n">
        <v>156</v>
      </c>
      <c r="F142" t="n">
        <v>169</v>
      </c>
      <c r="G142" t="n">
        <v>159</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policy_checklist2_text9_response3</t>
        </is>
      </c>
      <c r="B143" t="n">
        <v>7</v>
      </c>
      <c r="C143" t="inlineStr">
        <is>
          <t>T</t>
        </is>
      </c>
      <c r="D143" t="n">
        <v>168</v>
      </c>
      <c r="E143" t="n">
        <v>156</v>
      </c>
      <c r="F143" t="n">
        <v>194</v>
      </c>
      <c r="G143" t="n">
        <v>159</v>
      </c>
      <c r="H143" t="inlineStr">
        <is>
          <t>dejavu</t>
        </is>
      </c>
      <c r="I143" t="n">
        <v>16</v>
      </c>
      <c r="J143" t="n">
        <v>1</v>
      </c>
      <c r="K143" t="n">
        <v>0</v>
      </c>
      <c r="L143" t="n">
        <v>0</v>
      </c>
      <c r="N143" t="inlineStr">
        <is>
          <t>d0d8dd</t>
        </is>
      </c>
      <c r="O143" t="inlineStr">
        <is>
          <t>C</t>
        </is>
      </c>
      <c r="Q143" t="n">
        <v>2</v>
      </c>
      <c r="R143" t="b">
        <v>0</v>
      </c>
      <c r="S143" t="inlineStr">
        <is>
          <t xml:space="preserve"> </t>
        </is>
      </c>
      <c r="T143" t="n">
        <v>0</v>
      </c>
    </row>
    <row r="144">
      <c r="A144" t="inlineStr">
        <is>
          <t>policy_checklist2_text10</t>
        </is>
      </c>
      <c r="B144" t="n">
        <v>7</v>
      </c>
      <c r="C144" t="inlineStr">
        <is>
          <t>T</t>
        </is>
      </c>
      <c r="D144" t="n">
        <v>14</v>
      </c>
      <c r="E144" t="n">
        <v>167</v>
      </c>
      <c r="F144" t="n">
        <v>112</v>
      </c>
      <c r="G144" t="n">
        <v>172</v>
      </c>
      <c r="H144" t="inlineStr">
        <is>
          <t>custom</t>
        </is>
      </c>
      <c r="I144" t="n">
        <v>12</v>
      </c>
      <c r="J144" t="n">
        <v>0</v>
      </c>
      <c r="K144" t="n">
        <v>0</v>
      </c>
      <c r="L144" t="n">
        <v>0</v>
      </c>
      <c r="N144" t="inlineStr">
        <is>
          <t>d0d8dd</t>
        </is>
      </c>
      <c r="O144" t="inlineStr">
        <is>
          <t>L</t>
        </is>
      </c>
      <c r="Q144" t="n">
        <v>3</v>
      </c>
      <c r="R144" t="b">
        <v>1</v>
      </c>
      <c r="S144" t="inlineStr">
        <is>
          <t xml:space="preserve"> </t>
        </is>
      </c>
      <c r="T144" t="n">
        <v>0</v>
      </c>
    </row>
    <row r="145">
      <c r="A145" t="inlineStr">
        <is>
          <t>policy_checklist2_text10_response1</t>
        </is>
      </c>
      <c r="B145" t="n">
        <v>7</v>
      </c>
      <c r="C145" t="inlineStr">
        <is>
          <t>T</t>
        </is>
      </c>
      <c r="D145" t="n">
        <v>113</v>
      </c>
      <c r="E145" t="n">
        <v>168</v>
      </c>
      <c r="F145" t="n">
        <v>140</v>
      </c>
      <c r="G145" t="n">
        <v>171</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policy_checklist2_text10_response2</t>
        </is>
      </c>
      <c r="B146" t="n">
        <v>7</v>
      </c>
      <c r="C146" t="inlineStr">
        <is>
          <t>T</t>
        </is>
      </c>
      <c r="D146" t="n">
        <v>140</v>
      </c>
      <c r="E146" t="n">
        <v>168</v>
      </c>
      <c r="F146" t="n">
        <v>169</v>
      </c>
      <c r="G146" t="n">
        <v>171</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policy_checklist2_text10_response3</t>
        </is>
      </c>
      <c r="B147" t="n">
        <v>7</v>
      </c>
      <c r="C147" t="inlineStr">
        <is>
          <t>T</t>
        </is>
      </c>
      <c r="D147" t="n">
        <v>168</v>
      </c>
      <c r="E147" t="n">
        <v>168</v>
      </c>
      <c r="F147" t="n">
        <v>194</v>
      </c>
      <c r="G147" t="n">
        <v>171</v>
      </c>
      <c r="H147" t="inlineStr">
        <is>
          <t>dejavu</t>
        </is>
      </c>
      <c r="I147" t="n">
        <v>16</v>
      </c>
      <c r="J147" t="n">
        <v>1</v>
      </c>
      <c r="K147" t="n">
        <v>0</v>
      </c>
      <c r="L147" t="n">
        <v>0</v>
      </c>
      <c r="N147" t="inlineStr">
        <is>
          <t>d0d8dd</t>
        </is>
      </c>
      <c r="O147" t="inlineStr">
        <is>
          <t>C</t>
        </is>
      </c>
      <c r="Q147" t="n">
        <v>2</v>
      </c>
      <c r="R147" t="b">
        <v>0</v>
      </c>
      <c r="S147" t="inlineStr">
        <is>
          <t xml:space="preserve"> </t>
        </is>
      </c>
      <c r="T147" t="n">
        <v>0</v>
      </c>
    </row>
    <row r="148">
      <c r="A148" t="inlineStr">
        <is>
          <t>policy_checklist2_text11</t>
        </is>
      </c>
      <c r="B148" t="n">
        <v>7</v>
      </c>
      <c r="C148" t="inlineStr">
        <is>
          <t>T</t>
        </is>
      </c>
      <c r="D148" t="n">
        <v>14</v>
      </c>
      <c r="E148" t="n">
        <v>179</v>
      </c>
      <c r="F148" t="n">
        <v>112</v>
      </c>
      <c r="G148" t="n">
        <v>184</v>
      </c>
      <c r="H148" t="inlineStr">
        <is>
          <t>custom</t>
        </is>
      </c>
      <c r="I148" t="n">
        <v>12</v>
      </c>
      <c r="J148" t="n">
        <v>0</v>
      </c>
      <c r="K148" t="n">
        <v>0</v>
      </c>
      <c r="L148" t="n">
        <v>0</v>
      </c>
      <c r="N148" t="inlineStr">
        <is>
          <t>d0d8dd</t>
        </is>
      </c>
      <c r="O148" t="inlineStr">
        <is>
          <t>L</t>
        </is>
      </c>
      <c r="Q148" t="n">
        <v>3</v>
      </c>
      <c r="R148" t="b">
        <v>1</v>
      </c>
      <c r="S148" t="inlineStr">
        <is>
          <t xml:space="preserve"> </t>
        </is>
      </c>
      <c r="T148" t="n">
        <v>0</v>
      </c>
    </row>
    <row r="149">
      <c r="A149" t="inlineStr">
        <is>
          <t>policy_checklist2_text11_response1</t>
        </is>
      </c>
      <c r="B149" t="n">
        <v>7</v>
      </c>
      <c r="C149" t="inlineStr">
        <is>
          <t>T</t>
        </is>
      </c>
      <c r="D149" t="n">
        <v>113</v>
      </c>
      <c r="E149" t="n">
        <v>180</v>
      </c>
      <c r="F149" t="n">
        <v>140</v>
      </c>
      <c r="G149" t="n">
        <v>183</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policy_checklist2_text11_response2</t>
        </is>
      </c>
      <c r="B150" t="n">
        <v>7</v>
      </c>
      <c r="C150" t="inlineStr">
        <is>
          <t>T</t>
        </is>
      </c>
      <c r="D150" t="n">
        <v>140</v>
      </c>
      <c r="E150" t="n">
        <v>180</v>
      </c>
      <c r="F150" t="n">
        <v>169</v>
      </c>
      <c r="G150" t="n">
        <v>183</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policy_checklist2_text11_response3</t>
        </is>
      </c>
      <c r="B151" t="n">
        <v>7</v>
      </c>
      <c r="C151" t="inlineStr">
        <is>
          <t>T</t>
        </is>
      </c>
      <c r="D151" t="n">
        <v>168</v>
      </c>
      <c r="E151" t="n">
        <v>180</v>
      </c>
      <c r="F151" t="n">
        <v>194</v>
      </c>
      <c r="G151" t="n">
        <v>183</v>
      </c>
      <c r="H151" t="inlineStr">
        <is>
          <t>dejavu</t>
        </is>
      </c>
      <c r="I151" t="n">
        <v>16</v>
      </c>
      <c r="J151" t="n">
        <v>1</v>
      </c>
      <c r="K151" t="n">
        <v>0</v>
      </c>
      <c r="L151" t="n">
        <v>0</v>
      </c>
      <c r="N151" t="inlineStr">
        <is>
          <t>d0d8dd</t>
        </is>
      </c>
      <c r="O151" t="inlineStr">
        <is>
          <t>C</t>
        </is>
      </c>
      <c r="Q151" t="n">
        <v>2</v>
      </c>
      <c r="R151" t="b">
        <v>0</v>
      </c>
      <c r="S151" t="inlineStr">
        <is>
          <t xml:space="preserve"> </t>
        </is>
      </c>
      <c r="T151" t="n">
        <v>0</v>
      </c>
    </row>
    <row r="152">
      <c r="A152" t="inlineStr">
        <is>
          <t>policy_checklist2_text12</t>
        </is>
      </c>
      <c r="B152" t="n">
        <v>7</v>
      </c>
      <c r="C152" t="inlineStr">
        <is>
          <t>T</t>
        </is>
      </c>
      <c r="D152" t="n">
        <v>14</v>
      </c>
      <c r="E152" t="n">
        <v>191</v>
      </c>
      <c r="F152" t="n">
        <v>112</v>
      </c>
      <c r="G152" t="n">
        <v>196</v>
      </c>
      <c r="H152" t="inlineStr">
        <is>
          <t>custom</t>
        </is>
      </c>
      <c r="I152" t="n">
        <v>12</v>
      </c>
      <c r="J152" t="n">
        <v>0</v>
      </c>
      <c r="K152" t="n">
        <v>0</v>
      </c>
      <c r="L152" t="n">
        <v>0</v>
      </c>
      <c r="N152" t="inlineStr">
        <is>
          <t>d0d8dd</t>
        </is>
      </c>
      <c r="O152" t="inlineStr">
        <is>
          <t>L</t>
        </is>
      </c>
      <c r="Q152" t="n">
        <v>3</v>
      </c>
      <c r="R152" t="b">
        <v>1</v>
      </c>
      <c r="S152" t="inlineStr">
        <is>
          <t xml:space="preserve"> </t>
        </is>
      </c>
      <c r="T152" t="n">
        <v>0</v>
      </c>
    </row>
    <row r="153">
      <c r="A153" t="inlineStr">
        <is>
          <t>policy_checklist2_text12_response1</t>
        </is>
      </c>
      <c r="B153" t="n">
        <v>7</v>
      </c>
      <c r="C153" t="inlineStr">
        <is>
          <t>T</t>
        </is>
      </c>
      <c r="D153" t="n">
        <v>113</v>
      </c>
      <c r="E153" t="n">
        <v>192</v>
      </c>
      <c r="F153" t="n">
        <v>140</v>
      </c>
      <c r="G153" t="n">
        <v>195</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policy_checklist2_text12_response2</t>
        </is>
      </c>
      <c r="B154" t="n">
        <v>7</v>
      </c>
      <c r="C154" t="inlineStr">
        <is>
          <t>T</t>
        </is>
      </c>
      <c r="D154" t="n">
        <v>140</v>
      </c>
      <c r="E154" t="n">
        <v>192</v>
      </c>
      <c r="F154" t="n">
        <v>169</v>
      </c>
      <c r="G154" t="n">
        <v>195</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policy_checklist2_text12_response3</t>
        </is>
      </c>
      <c r="B155" t="n">
        <v>7</v>
      </c>
      <c r="C155" t="inlineStr">
        <is>
          <t>T</t>
        </is>
      </c>
      <c r="D155" t="n">
        <v>168</v>
      </c>
      <c r="E155" t="n">
        <v>192</v>
      </c>
      <c r="F155" t="n">
        <v>194</v>
      </c>
      <c r="G155" t="n">
        <v>195</v>
      </c>
      <c r="H155" t="inlineStr">
        <is>
          <t>dejavu</t>
        </is>
      </c>
      <c r="I155" t="n">
        <v>16</v>
      </c>
      <c r="J155" t="n">
        <v>1</v>
      </c>
      <c r="K155" t="n">
        <v>0</v>
      </c>
      <c r="L155" t="n">
        <v>0</v>
      </c>
      <c r="N155" t="inlineStr">
        <is>
          <t>d0d8dd</t>
        </is>
      </c>
      <c r="O155" t="inlineStr">
        <is>
          <t>C</t>
        </is>
      </c>
      <c r="Q155" t="n">
        <v>2</v>
      </c>
      <c r="R155" t="b">
        <v>0</v>
      </c>
      <c r="S155" t="inlineStr">
        <is>
          <t xml:space="preserve"> </t>
        </is>
      </c>
      <c r="T155" t="n">
        <v>0</v>
      </c>
    </row>
    <row r="156">
      <c r="A156" t="inlineStr">
        <is>
          <t>policy_checklist2_text13</t>
        </is>
      </c>
      <c r="B156" t="n">
        <v>7</v>
      </c>
      <c r="C156" t="inlineStr">
        <is>
          <t>T</t>
        </is>
      </c>
      <c r="D156" t="n">
        <v>14</v>
      </c>
      <c r="E156" t="n">
        <v>203</v>
      </c>
      <c r="F156" t="n">
        <v>112</v>
      </c>
      <c r="G156" t="n">
        <v>208</v>
      </c>
      <c r="H156" t="inlineStr">
        <is>
          <t>custom</t>
        </is>
      </c>
      <c r="I156" t="n">
        <v>12</v>
      </c>
      <c r="J156" t="n">
        <v>0</v>
      </c>
      <c r="K156" t="n">
        <v>0</v>
      </c>
      <c r="L156" t="n">
        <v>0</v>
      </c>
      <c r="N156" t="inlineStr">
        <is>
          <t>d0d8dd</t>
        </is>
      </c>
      <c r="O156" t="inlineStr">
        <is>
          <t>L</t>
        </is>
      </c>
      <c r="Q156" t="n">
        <v>3</v>
      </c>
      <c r="R156" t="b">
        <v>1</v>
      </c>
      <c r="S156" t="inlineStr">
        <is>
          <t xml:space="preserve"> </t>
        </is>
      </c>
      <c r="T156" t="n">
        <v>0</v>
      </c>
    </row>
    <row r="157">
      <c r="A157" t="inlineStr">
        <is>
          <t>policy_checklist2_text13_response1</t>
        </is>
      </c>
      <c r="B157" t="n">
        <v>7</v>
      </c>
      <c r="C157" t="inlineStr">
        <is>
          <t>T</t>
        </is>
      </c>
      <c r="D157" t="n">
        <v>113</v>
      </c>
      <c r="E157" t="n">
        <v>204</v>
      </c>
      <c r="F157" t="n">
        <v>140</v>
      </c>
      <c r="G157" t="n">
        <v>207</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policy_checklist2_text13_response2</t>
        </is>
      </c>
      <c r="B158" t="n">
        <v>7</v>
      </c>
      <c r="C158" t="inlineStr">
        <is>
          <t>T</t>
        </is>
      </c>
      <c r="D158" t="n">
        <v>140</v>
      </c>
      <c r="E158" t="n">
        <v>204</v>
      </c>
      <c r="F158" t="n">
        <v>169</v>
      </c>
      <c r="G158" t="n">
        <v>207</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policy_checklist2_text13_response3</t>
        </is>
      </c>
      <c r="B159" t="n">
        <v>7</v>
      </c>
      <c r="C159" t="inlineStr">
        <is>
          <t>T</t>
        </is>
      </c>
      <c r="D159" t="n">
        <v>168</v>
      </c>
      <c r="E159" t="n">
        <v>204</v>
      </c>
      <c r="F159" t="n">
        <v>194</v>
      </c>
      <c r="G159" t="n">
        <v>207</v>
      </c>
      <c r="H159" t="inlineStr">
        <is>
          <t>dejavu</t>
        </is>
      </c>
      <c r="I159" t="n">
        <v>16</v>
      </c>
      <c r="J159" t="n">
        <v>1</v>
      </c>
      <c r="K159" t="n">
        <v>0</v>
      </c>
      <c r="L159" t="n">
        <v>0</v>
      </c>
      <c r="N159" t="inlineStr">
        <is>
          <t>d0d8dd</t>
        </is>
      </c>
      <c r="O159" t="inlineStr">
        <is>
          <t>C</t>
        </is>
      </c>
      <c r="Q159" t="n">
        <v>2</v>
      </c>
      <c r="R159" t="b">
        <v>0</v>
      </c>
      <c r="S159" t="inlineStr">
        <is>
          <t xml:space="preserve"> </t>
        </is>
      </c>
      <c r="T159" t="n">
        <v>0</v>
      </c>
    </row>
    <row r="160">
      <c r="A160" t="inlineStr">
        <is>
          <t>policy_checklist2_text14</t>
        </is>
      </c>
      <c r="B160" t="n">
        <v>7</v>
      </c>
      <c r="C160" t="inlineStr">
        <is>
          <t>T</t>
        </is>
      </c>
      <c r="D160" t="n">
        <v>14</v>
      </c>
      <c r="E160" t="n">
        <v>215</v>
      </c>
      <c r="F160" t="n">
        <v>112</v>
      </c>
      <c r="G160" t="n">
        <v>220</v>
      </c>
      <c r="H160" t="inlineStr">
        <is>
          <t>custom</t>
        </is>
      </c>
      <c r="I160" t="n">
        <v>12</v>
      </c>
      <c r="J160" t="n">
        <v>0</v>
      </c>
      <c r="K160" t="n">
        <v>0</v>
      </c>
      <c r="L160" t="n">
        <v>0</v>
      </c>
      <c r="N160" t="inlineStr">
        <is>
          <t>d0d8dd</t>
        </is>
      </c>
      <c r="O160" t="inlineStr">
        <is>
          <t>L</t>
        </is>
      </c>
      <c r="Q160" t="n">
        <v>3</v>
      </c>
      <c r="R160" t="b">
        <v>1</v>
      </c>
      <c r="S160" t="inlineStr">
        <is>
          <t xml:space="preserve"> </t>
        </is>
      </c>
      <c r="T160" t="n">
        <v>0</v>
      </c>
    </row>
    <row r="161">
      <c r="A161" t="inlineStr">
        <is>
          <t>policy_checklist2_text14_response1</t>
        </is>
      </c>
      <c r="B161" t="n">
        <v>7</v>
      </c>
      <c r="C161" t="inlineStr">
        <is>
          <t>T</t>
        </is>
      </c>
      <c r="D161" t="n">
        <v>113</v>
      </c>
      <c r="E161" t="n">
        <v>216</v>
      </c>
      <c r="F161" t="n">
        <v>140</v>
      </c>
      <c r="G161" t="n">
        <v>219</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policy_checklist2_text14_response2</t>
        </is>
      </c>
      <c r="B162" t="n">
        <v>7</v>
      </c>
      <c r="C162" t="inlineStr">
        <is>
          <t>T</t>
        </is>
      </c>
      <c r="D162" t="n">
        <v>140</v>
      </c>
      <c r="E162" t="n">
        <v>216</v>
      </c>
      <c r="F162" t="n">
        <v>169</v>
      </c>
      <c r="G162" t="n">
        <v>219</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policy_checklist2_text14_response3</t>
        </is>
      </c>
      <c r="B163" t="n">
        <v>7</v>
      </c>
      <c r="C163" t="inlineStr">
        <is>
          <t>T</t>
        </is>
      </c>
      <c r="D163" t="n">
        <v>168</v>
      </c>
      <c r="E163" t="n">
        <v>216</v>
      </c>
      <c r="F163" t="n">
        <v>194</v>
      </c>
      <c r="G163" t="n">
        <v>219</v>
      </c>
      <c r="H163" t="inlineStr">
        <is>
          <t>dejavu</t>
        </is>
      </c>
      <c r="I163" t="n">
        <v>16</v>
      </c>
      <c r="J163" t="n">
        <v>1</v>
      </c>
      <c r="K163" t="n">
        <v>0</v>
      </c>
      <c r="L163" t="n">
        <v>0</v>
      </c>
      <c r="N163" t="inlineStr">
        <is>
          <t>d0d8dd</t>
        </is>
      </c>
      <c r="O163" t="inlineStr">
        <is>
          <t>C</t>
        </is>
      </c>
      <c r="Q163" t="n">
        <v>2</v>
      </c>
      <c r="R163" t="b">
        <v>0</v>
      </c>
      <c r="S163" t="inlineStr">
        <is>
          <t xml:space="preserve"> </t>
        </is>
      </c>
      <c r="T163" t="n">
        <v>0</v>
      </c>
    </row>
    <row r="164">
      <c r="A164" t="inlineStr">
        <is>
          <t>policy_checklist2_text15</t>
        </is>
      </c>
      <c r="B164" t="n">
        <v>7</v>
      </c>
      <c r="C164" t="inlineStr">
        <is>
          <t>T</t>
        </is>
      </c>
      <c r="D164" t="n">
        <v>14</v>
      </c>
      <c r="E164" t="n">
        <v>227</v>
      </c>
      <c r="F164" t="n">
        <v>112</v>
      </c>
      <c r="G164" t="n">
        <v>232</v>
      </c>
      <c r="H164" t="inlineStr">
        <is>
          <t>custom</t>
        </is>
      </c>
      <c r="I164" t="n">
        <v>12</v>
      </c>
      <c r="J164" t="n">
        <v>0</v>
      </c>
      <c r="K164" t="n">
        <v>0</v>
      </c>
      <c r="L164" t="n">
        <v>0</v>
      </c>
      <c r="N164" t="inlineStr">
        <is>
          <t>d0d8dd</t>
        </is>
      </c>
      <c r="O164" t="inlineStr">
        <is>
          <t>L</t>
        </is>
      </c>
      <c r="Q164" t="n">
        <v>3</v>
      </c>
      <c r="R164" t="b">
        <v>1</v>
      </c>
      <c r="S164" t="inlineStr">
        <is>
          <t xml:space="preserve"> </t>
        </is>
      </c>
      <c r="T164" t="n">
        <v>0</v>
      </c>
    </row>
    <row r="165">
      <c r="A165" t="inlineStr">
        <is>
          <t>policy_checklist2_text15_response1</t>
        </is>
      </c>
      <c r="B165" t="n">
        <v>7</v>
      </c>
      <c r="C165" t="inlineStr">
        <is>
          <t>T</t>
        </is>
      </c>
      <c r="D165" t="n">
        <v>113</v>
      </c>
      <c r="E165" t="n">
        <v>228</v>
      </c>
      <c r="F165" t="n">
        <v>140</v>
      </c>
      <c r="G165" t="n">
        <v>231</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policy_checklist2_text15_response2</t>
        </is>
      </c>
      <c r="B166" t="n">
        <v>7</v>
      </c>
      <c r="C166" t="inlineStr">
        <is>
          <t>T</t>
        </is>
      </c>
      <c r="D166" t="n">
        <v>140</v>
      </c>
      <c r="E166" t="n">
        <v>228</v>
      </c>
      <c r="F166" t="n">
        <v>169</v>
      </c>
      <c r="G166" t="n">
        <v>231</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policy_checklist2_text15_response3</t>
        </is>
      </c>
      <c r="B167" t="n">
        <v>7</v>
      </c>
      <c r="C167" t="inlineStr">
        <is>
          <t>T</t>
        </is>
      </c>
      <c r="D167" t="n">
        <v>168</v>
      </c>
      <c r="E167" t="n">
        <v>228</v>
      </c>
      <c r="F167" t="n">
        <v>194</v>
      </c>
      <c r="G167" t="n">
        <v>231</v>
      </c>
      <c r="H167" t="inlineStr">
        <is>
          <t>dejavu</t>
        </is>
      </c>
      <c r="I167" t="n">
        <v>16</v>
      </c>
      <c r="J167" t="n">
        <v>1</v>
      </c>
      <c r="K167" t="n">
        <v>0</v>
      </c>
      <c r="L167" t="n">
        <v>0</v>
      </c>
      <c r="N167" t="inlineStr">
        <is>
          <t>d0d8dd</t>
        </is>
      </c>
      <c r="O167" t="inlineStr">
        <is>
          <t>C</t>
        </is>
      </c>
      <c r="Q167" t="n">
        <v>2</v>
      </c>
      <c r="R167" t="b">
        <v>0</v>
      </c>
      <c r="S167" t="inlineStr">
        <is>
          <t xml:space="preserve"> </t>
        </is>
      </c>
      <c r="T167" t="n">
        <v>0</v>
      </c>
    </row>
    <row r="168">
      <c r="A168" t="inlineStr">
        <is>
          <t>policy_checklist2_text16</t>
        </is>
      </c>
      <c r="B168" t="n">
        <v>7</v>
      </c>
      <c r="C168" t="inlineStr">
        <is>
          <t>T</t>
        </is>
      </c>
      <c r="D168" t="n">
        <v>14</v>
      </c>
      <c r="E168" t="n">
        <v>239</v>
      </c>
      <c r="F168" t="n">
        <v>112</v>
      </c>
      <c r="G168" t="n">
        <v>244</v>
      </c>
      <c r="H168" t="inlineStr">
        <is>
          <t>custom</t>
        </is>
      </c>
      <c r="I168" t="n">
        <v>12</v>
      </c>
      <c r="J168" t="n">
        <v>0</v>
      </c>
      <c r="K168" t="n">
        <v>0</v>
      </c>
      <c r="L168" t="n">
        <v>0</v>
      </c>
      <c r="N168" t="inlineStr">
        <is>
          <t>d0d8dd</t>
        </is>
      </c>
      <c r="O168" t="inlineStr">
        <is>
          <t>L</t>
        </is>
      </c>
      <c r="Q168" t="n">
        <v>3</v>
      </c>
      <c r="R168" t="b">
        <v>1</v>
      </c>
      <c r="S168" t="inlineStr">
        <is>
          <t xml:space="preserve"> </t>
        </is>
      </c>
      <c r="T168" t="n">
        <v>0</v>
      </c>
    </row>
    <row r="169">
      <c r="A169" t="inlineStr">
        <is>
          <t>policy_checklist2_text16_response1</t>
        </is>
      </c>
      <c r="B169" t="n">
        <v>7</v>
      </c>
      <c r="C169" t="inlineStr">
        <is>
          <t>T</t>
        </is>
      </c>
      <c r="D169" t="n">
        <v>113</v>
      </c>
      <c r="E169" t="n">
        <v>240</v>
      </c>
      <c r="F169" t="n">
        <v>140</v>
      </c>
      <c r="G169" t="n">
        <v>243</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policy_checklist2_text16_response2</t>
        </is>
      </c>
      <c r="B170" t="n">
        <v>7</v>
      </c>
      <c r="C170" t="inlineStr">
        <is>
          <t>T</t>
        </is>
      </c>
      <c r="D170" t="n">
        <v>140</v>
      </c>
      <c r="E170" t="n">
        <v>240</v>
      </c>
      <c r="F170" t="n">
        <v>169</v>
      </c>
      <c r="G170" t="n">
        <v>243</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policy_checklist2_text16_response3</t>
        </is>
      </c>
      <c r="B171" t="n">
        <v>7</v>
      </c>
      <c r="C171" t="inlineStr">
        <is>
          <t>T</t>
        </is>
      </c>
      <c r="D171" t="n">
        <v>168</v>
      </c>
      <c r="E171" t="n">
        <v>240</v>
      </c>
      <c r="F171" t="n">
        <v>194</v>
      </c>
      <c r="G171" t="n">
        <v>243</v>
      </c>
      <c r="H171" t="inlineStr">
        <is>
          <t>dejavu</t>
        </is>
      </c>
      <c r="I171" t="n">
        <v>16</v>
      </c>
      <c r="J171" t="n">
        <v>1</v>
      </c>
      <c r="K171" t="n">
        <v>0</v>
      </c>
      <c r="L171" t="n">
        <v>0</v>
      </c>
      <c r="N171" t="inlineStr">
        <is>
          <t>d0d8dd</t>
        </is>
      </c>
      <c r="O171" t="inlineStr">
        <is>
          <t>C</t>
        </is>
      </c>
      <c r="Q171" t="n">
        <v>2</v>
      </c>
      <c r="R171" t="b">
        <v>0</v>
      </c>
      <c r="S171" t="inlineStr">
        <is>
          <t xml:space="preserve"> </t>
        </is>
      </c>
      <c r="T171" t="n">
        <v>0</v>
      </c>
    </row>
    <row r="172">
      <c r="A172" t="inlineStr">
        <is>
          <t>policy_checklist2_text17</t>
        </is>
      </c>
      <c r="B172" t="n">
        <v>7</v>
      </c>
      <c r="C172" t="inlineStr">
        <is>
          <t>T</t>
        </is>
      </c>
      <c r="D172" t="n">
        <v>14</v>
      </c>
      <c r="E172" t="n">
        <v>251</v>
      </c>
      <c r="F172" t="n">
        <v>112</v>
      </c>
      <c r="G172" t="n">
        <v>256</v>
      </c>
      <c r="H172" t="inlineStr">
        <is>
          <t>custom</t>
        </is>
      </c>
      <c r="I172" t="n">
        <v>12</v>
      </c>
      <c r="J172" t="n">
        <v>0</v>
      </c>
      <c r="K172" t="n">
        <v>0</v>
      </c>
      <c r="L172" t="n">
        <v>0</v>
      </c>
      <c r="N172" t="inlineStr">
        <is>
          <t>d0d8dd</t>
        </is>
      </c>
      <c r="O172" t="inlineStr">
        <is>
          <t>L</t>
        </is>
      </c>
      <c r="Q172" t="n">
        <v>3</v>
      </c>
      <c r="R172" t="b">
        <v>1</v>
      </c>
      <c r="S172" t="inlineStr">
        <is>
          <t xml:space="preserve"> </t>
        </is>
      </c>
      <c r="T172" t="n">
        <v>0</v>
      </c>
    </row>
    <row r="173">
      <c r="A173" t="inlineStr">
        <is>
          <t>policy_checklist2_text17_response1</t>
        </is>
      </c>
      <c r="B173" t="n">
        <v>7</v>
      </c>
      <c r="C173" t="inlineStr">
        <is>
          <t>T</t>
        </is>
      </c>
      <c r="D173" t="n">
        <v>113</v>
      </c>
      <c r="E173" t="n">
        <v>252</v>
      </c>
      <c r="F173" t="n">
        <v>140</v>
      </c>
      <c r="G173" t="n">
        <v>255</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policy_checklist2_text17_response2</t>
        </is>
      </c>
      <c r="B174" t="n">
        <v>7</v>
      </c>
      <c r="C174" t="inlineStr">
        <is>
          <t>T</t>
        </is>
      </c>
      <c r="D174" t="n">
        <v>140</v>
      </c>
      <c r="E174" t="n">
        <v>252</v>
      </c>
      <c r="F174" t="n">
        <v>169</v>
      </c>
      <c r="G174" t="n">
        <v>255</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policy_checklist2_text17_response3</t>
        </is>
      </c>
      <c r="B175" t="n">
        <v>7</v>
      </c>
      <c r="C175" t="inlineStr">
        <is>
          <t>T</t>
        </is>
      </c>
      <c r="D175" t="n">
        <v>168</v>
      </c>
      <c r="E175" t="n">
        <v>252</v>
      </c>
      <c r="F175" t="n">
        <v>194</v>
      </c>
      <c r="G175" t="n">
        <v>255</v>
      </c>
      <c r="H175" t="inlineStr">
        <is>
          <t>dejavu</t>
        </is>
      </c>
      <c r="I175" t="n">
        <v>16</v>
      </c>
      <c r="J175" t="n">
        <v>1</v>
      </c>
      <c r="K175" t="n">
        <v>0</v>
      </c>
      <c r="L175" t="n">
        <v>0</v>
      </c>
      <c r="N175" t="inlineStr">
        <is>
          <t>d0d8dd</t>
        </is>
      </c>
      <c r="O175" t="inlineStr">
        <is>
          <t>C</t>
        </is>
      </c>
      <c r="Q175" t="n">
        <v>2</v>
      </c>
      <c r="R175" t="b">
        <v>0</v>
      </c>
      <c r="S175" t="inlineStr">
        <is>
          <t xml:space="preserve"> </t>
        </is>
      </c>
      <c r="T175" t="n">
        <v>0</v>
      </c>
    </row>
    <row r="176">
      <c r="A176" t="inlineStr">
        <is>
          <t>pt_header</t>
        </is>
      </c>
      <c r="B176" t="n">
        <v>8</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xml:space="preserve"> </t>
        </is>
      </c>
      <c r="T176" t="n">
        <v>0</v>
      </c>
    </row>
    <row r="177">
      <c r="A177" t="inlineStr">
        <is>
          <t>pt_description</t>
        </is>
      </c>
      <c r="B177" t="n">
        <v>8</v>
      </c>
      <c r="C177" t="inlineStr">
        <is>
          <t>T</t>
        </is>
      </c>
      <c r="D177" t="n">
        <v>14</v>
      </c>
      <c r="E177" t="n">
        <v>33</v>
      </c>
      <c r="F177" t="n">
        <v>196</v>
      </c>
      <c r="G177" t="n">
        <v>38</v>
      </c>
      <c r="H177" t="inlineStr">
        <is>
          <t>custom</t>
        </is>
      </c>
      <c r="I177" t="n">
        <v>12</v>
      </c>
      <c r="J177" t="n">
        <v>0</v>
      </c>
      <c r="K177" t="n">
        <v>0</v>
      </c>
      <c r="L177" t="n">
        <v>0</v>
      </c>
      <c r="M177" s="23" t="n"/>
      <c r="N177" t="inlineStr">
        <is>
          <t>FFFFFF</t>
        </is>
      </c>
      <c r="O177" t="inlineStr">
        <is>
          <t>L</t>
        </is>
      </c>
      <c r="P177" s="1" t="n"/>
      <c r="Q177" t="n">
        <v>2</v>
      </c>
      <c r="R177" t="b">
        <v>1</v>
      </c>
      <c r="S177" t="inlineStr">
        <is>
          <t xml:space="preserve"> </t>
        </is>
      </c>
      <c r="T177" t="n">
        <v>0</v>
      </c>
    </row>
    <row r="178">
      <c r="A178" t="inlineStr">
        <is>
          <t>policy_checklist3_box</t>
        </is>
      </c>
      <c r="B178" t="n">
        <v>8</v>
      </c>
      <c r="C178" t="inlineStr">
        <is>
          <t>B</t>
        </is>
      </c>
      <c r="D178" t="n">
        <v>0</v>
      </c>
      <c r="E178" t="n">
        <v>120</v>
      </c>
      <c r="F178" t="n">
        <v>210</v>
      </c>
      <c r="G178" t="n">
        <v>204</v>
      </c>
      <c r="I178" t="n">
        <v>0</v>
      </c>
      <c r="J178" t="n">
        <v>1</v>
      </c>
      <c r="K178" t="n">
        <v>0</v>
      </c>
      <c r="L178" t="n">
        <v>0</v>
      </c>
      <c r="M178" t="inlineStr">
        <is>
          <t>d0d8dd</t>
        </is>
      </c>
      <c r="N178" t="inlineStr">
        <is>
          <t>d0d8dd</t>
        </is>
      </c>
      <c r="O178" t="inlineStr">
        <is>
          <t>L</t>
        </is>
      </c>
      <c r="Q178" t="n">
        <v>1</v>
      </c>
      <c r="R178" t="b">
        <v>0</v>
      </c>
      <c r="S178" t="inlineStr">
        <is>
          <t xml:space="preserve"> </t>
        </is>
      </c>
      <c r="T178" t="n">
        <v>0</v>
      </c>
    </row>
    <row r="179">
      <c r="A179" t="inlineStr">
        <is>
          <t>policy_checklist3_title</t>
        </is>
      </c>
      <c r="B179" t="n">
        <v>-999</v>
      </c>
      <c r="C179" t="inlineStr">
        <is>
          <t>T</t>
        </is>
      </c>
      <c r="D179" t="n">
        <v>14</v>
      </c>
      <c r="E179" t="n">
        <v>125</v>
      </c>
      <c r="F179" t="n">
        <v>196</v>
      </c>
      <c r="G179" t="n">
        <v>128</v>
      </c>
      <c r="H179" t="inlineStr">
        <is>
          <t>custom</t>
        </is>
      </c>
      <c r="I179" t="n">
        <v>12</v>
      </c>
      <c r="J179" t="n">
        <v>1</v>
      </c>
      <c r="K179" t="n">
        <v>0</v>
      </c>
      <c r="L179" t="n">
        <v>0</v>
      </c>
      <c r="N179" t="inlineStr">
        <is>
          <t>d0d8dd</t>
        </is>
      </c>
      <c r="O179" t="inlineStr">
        <is>
          <t>L</t>
        </is>
      </c>
      <c r="Q179" t="n">
        <v>3</v>
      </c>
      <c r="R179" t="b">
        <v>0</v>
      </c>
      <c r="S179" t="inlineStr">
        <is>
          <t xml:space="preserve"> </t>
        </is>
      </c>
      <c r="T179" t="n">
        <v>0</v>
      </c>
    </row>
    <row r="180">
      <c r="A180" t="inlineStr">
        <is>
          <t>policy_checklist_header1</t>
        </is>
      </c>
      <c r="B180" t="n">
        <v>8</v>
      </c>
      <c r="C180" t="inlineStr">
        <is>
          <t>T</t>
        </is>
      </c>
      <c r="D180" t="n">
        <v>113</v>
      </c>
      <c r="E180" t="n">
        <v>122</v>
      </c>
      <c r="F180" t="n">
        <v>140</v>
      </c>
      <c r="G180" t="n">
        <v>127</v>
      </c>
      <c r="H180" t="inlineStr">
        <is>
          <t>custom</t>
        </is>
      </c>
      <c r="I180" t="n">
        <v>10</v>
      </c>
      <c r="J180" t="n">
        <v>1</v>
      </c>
      <c r="K180" t="n">
        <v>0</v>
      </c>
      <c r="L180" t="n">
        <v>0</v>
      </c>
      <c r="N180" t="inlineStr">
        <is>
          <t>d0d8dd</t>
        </is>
      </c>
      <c r="O180" t="inlineStr">
        <is>
          <t>C</t>
        </is>
      </c>
      <c r="Q180" t="n">
        <v>3</v>
      </c>
      <c r="R180" t="b">
        <v>1</v>
      </c>
      <c r="S180" t="inlineStr">
        <is>
          <t xml:space="preserve"> </t>
        </is>
      </c>
      <c r="T180" t="n">
        <v>0</v>
      </c>
    </row>
    <row r="181">
      <c r="A181" t="inlineStr">
        <is>
          <t>policy_checklist_header2</t>
        </is>
      </c>
      <c r="B181" t="n">
        <v>8</v>
      </c>
      <c r="C181" t="inlineStr">
        <is>
          <t>T</t>
        </is>
      </c>
      <c r="D181" t="n">
        <v>140</v>
      </c>
      <c r="E181" t="n">
        <v>122</v>
      </c>
      <c r="F181" t="n">
        <v>169</v>
      </c>
      <c r="G181" t="n">
        <v>127</v>
      </c>
      <c r="H181" t="inlineStr">
        <is>
          <t>custom</t>
        </is>
      </c>
      <c r="I181" t="n">
        <v>10</v>
      </c>
      <c r="J181" t="n">
        <v>1</v>
      </c>
      <c r="K181" t="n">
        <v>0</v>
      </c>
      <c r="L181" t="n">
        <v>0</v>
      </c>
      <c r="N181" t="inlineStr">
        <is>
          <t>d0d8dd</t>
        </is>
      </c>
      <c r="O181" t="inlineStr">
        <is>
          <t>C</t>
        </is>
      </c>
      <c r="Q181" t="n">
        <v>3</v>
      </c>
      <c r="R181" t="b">
        <v>1</v>
      </c>
      <c r="S181" t="inlineStr">
        <is>
          <t xml:space="preserve"> </t>
        </is>
      </c>
      <c r="T181" t="n">
        <v>0</v>
      </c>
    </row>
    <row r="182">
      <c r="A182" t="inlineStr">
        <is>
          <t>policy_checklist_header3</t>
        </is>
      </c>
      <c r="B182" t="n">
        <v>8</v>
      </c>
      <c r="C182" t="inlineStr">
        <is>
          <t>T</t>
        </is>
      </c>
      <c r="D182" t="n">
        <v>168</v>
      </c>
      <c r="E182" t="n">
        <v>122</v>
      </c>
      <c r="F182" t="n">
        <v>194</v>
      </c>
      <c r="G182" t="n">
        <v>127</v>
      </c>
      <c r="H182" t="inlineStr">
        <is>
          <t>custom</t>
        </is>
      </c>
      <c r="I182" t="n">
        <v>10</v>
      </c>
      <c r="J182" t="n">
        <v>1</v>
      </c>
      <c r="K182" t="n">
        <v>0</v>
      </c>
      <c r="L182" t="n">
        <v>0</v>
      </c>
      <c r="N182" t="inlineStr">
        <is>
          <t>d0d8dd</t>
        </is>
      </c>
      <c r="O182" t="inlineStr">
        <is>
          <t>C</t>
        </is>
      </c>
      <c r="Q182" t="n">
        <v>3</v>
      </c>
      <c r="R182" t="b">
        <v>1</v>
      </c>
      <c r="S182" t="inlineStr">
        <is>
          <t xml:space="preserve"> </t>
        </is>
      </c>
      <c r="T182" t="n">
        <v>0</v>
      </c>
    </row>
    <row r="183">
      <c r="A183" t="inlineStr">
        <is>
          <t>table_vline1</t>
        </is>
      </c>
      <c r="B183" t="n">
        <v>8</v>
      </c>
      <c r="C183" t="inlineStr">
        <is>
          <t>L</t>
        </is>
      </c>
      <c r="D183" t="n">
        <v>114</v>
      </c>
      <c r="E183" t="n">
        <v>120</v>
      </c>
      <c r="F183" t="n">
        <v>114</v>
      </c>
      <c r="G183" t="n">
        <v>204</v>
      </c>
      <c r="I183" t="n">
        <v>0.5</v>
      </c>
      <c r="J183" t="n">
        <v>0</v>
      </c>
      <c r="K183" t="n">
        <v>0</v>
      </c>
      <c r="L183" t="n">
        <v>0</v>
      </c>
      <c r="M183" t="inlineStr">
        <is>
          <t>FFFFFF</t>
        </is>
      </c>
      <c r="N183" t="inlineStr">
        <is>
          <t>d0d8dd</t>
        </is>
      </c>
      <c r="O183" t="inlineStr">
        <is>
          <t>L</t>
        </is>
      </c>
      <c r="Q183" t="n">
        <v>4</v>
      </c>
      <c r="R183" t="b">
        <v>0</v>
      </c>
      <c r="S183" t="inlineStr">
        <is>
          <t xml:space="preserve"> </t>
        </is>
      </c>
      <c r="T183" t="n">
        <v>0</v>
      </c>
    </row>
    <row r="184">
      <c r="A184" t="inlineStr">
        <is>
          <t>table_vline2</t>
        </is>
      </c>
      <c r="B184" t="n">
        <v>8</v>
      </c>
      <c r="C184" t="inlineStr">
        <is>
          <t>L</t>
        </is>
      </c>
      <c r="D184" t="n">
        <v>141</v>
      </c>
      <c r="E184" t="n">
        <v>120</v>
      </c>
      <c r="F184" t="n">
        <v>141</v>
      </c>
      <c r="G184" t="n">
        <v>204</v>
      </c>
      <c r="I184" t="n">
        <v>0.5</v>
      </c>
      <c r="J184" t="n">
        <v>0</v>
      </c>
      <c r="K184" t="n">
        <v>0</v>
      </c>
      <c r="L184" t="n">
        <v>0</v>
      </c>
      <c r="M184" t="inlineStr">
        <is>
          <t>FFFFFF</t>
        </is>
      </c>
      <c r="N184" t="inlineStr">
        <is>
          <t>d0d8dd</t>
        </is>
      </c>
      <c r="O184" t="inlineStr">
        <is>
          <t>L</t>
        </is>
      </c>
      <c r="Q184" t="n">
        <v>4</v>
      </c>
      <c r="R184" t="b">
        <v>0</v>
      </c>
      <c r="S184" t="inlineStr">
        <is>
          <t xml:space="preserve"> </t>
        </is>
      </c>
      <c r="T184" t="n">
        <v>0</v>
      </c>
    </row>
    <row r="185">
      <c r="A185" t="inlineStr">
        <is>
          <t>table_vline3</t>
        </is>
      </c>
      <c r="B185" t="n">
        <v>8</v>
      </c>
      <c r="C185" t="inlineStr">
        <is>
          <t>L</t>
        </is>
      </c>
      <c r="D185" t="n">
        <v>168</v>
      </c>
      <c r="E185" t="n">
        <v>120</v>
      </c>
      <c r="F185" t="n">
        <v>168</v>
      </c>
      <c r="G185" t="n">
        <v>204</v>
      </c>
      <c r="I185" t="n">
        <v>0.5</v>
      </c>
      <c r="J185" t="n">
        <v>0</v>
      </c>
      <c r="K185" t="n">
        <v>0</v>
      </c>
      <c r="L185" t="n">
        <v>0</v>
      </c>
      <c r="M185" t="inlineStr">
        <is>
          <t>FFFFFF</t>
        </is>
      </c>
      <c r="N185" t="inlineStr">
        <is>
          <t>d0d8dd</t>
        </is>
      </c>
      <c r="O185" t="inlineStr">
        <is>
          <t>L</t>
        </is>
      </c>
      <c r="Q185" t="n">
        <v>4</v>
      </c>
      <c r="R185" t="b">
        <v>0</v>
      </c>
      <c r="S185" t="inlineStr">
        <is>
          <t xml:space="preserve"> </t>
        </is>
      </c>
      <c r="T185" t="n">
        <v>0</v>
      </c>
    </row>
    <row r="186">
      <c r="A186" t="inlineStr">
        <is>
          <t>table_hline_mid</t>
        </is>
      </c>
      <c r="B186" t="n">
        <v>8</v>
      </c>
      <c r="C186" t="inlineStr">
        <is>
          <t>L</t>
        </is>
      </c>
      <c r="D186" t="n">
        <v>14</v>
      </c>
      <c r="E186" t="n">
        <v>147</v>
      </c>
      <c r="F186" t="n">
        <v>196</v>
      </c>
      <c r="G186" t="n">
        <v>147</v>
      </c>
      <c r="I186" t="n">
        <v>0.5</v>
      </c>
      <c r="J186" t="n">
        <v>0</v>
      </c>
      <c r="K186" t="n">
        <v>0</v>
      </c>
      <c r="L186" t="n">
        <v>0</v>
      </c>
      <c r="M186" t="inlineStr">
        <is>
          <t>FFFFFF</t>
        </is>
      </c>
      <c r="N186" t="inlineStr">
        <is>
          <t>d0d8dd</t>
        </is>
      </c>
      <c r="O186" t="inlineStr">
        <is>
          <t>L</t>
        </is>
      </c>
      <c r="Q186" t="n">
        <v>4</v>
      </c>
      <c r="R186" t="b">
        <v>0</v>
      </c>
      <c r="S186" t="inlineStr">
        <is>
          <t xml:space="preserve"> </t>
        </is>
      </c>
      <c r="T186" t="n">
        <v>0</v>
      </c>
    </row>
    <row r="187">
      <c r="A187" t="inlineStr">
        <is>
          <t>Policy key</t>
        </is>
      </c>
      <c r="B187" t="n">
        <v>8</v>
      </c>
      <c r="C187" t="inlineStr">
        <is>
          <t>T</t>
        </is>
      </c>
      <c r="D187" t="n">
        <v>14</v>
      </c>
      <c r="E187" t="n">
        <v>206</v>
      </c>
      <c r="F187" t="n">
        <v>196</v>
      </c>
      <c r="G187" t="n">
        <v>210</v>
      </c>
      <c r="H187" t="inlineStr">
        <is>
          <t>custom</t>
        </is>
      </c>
      <c r="I187" t="n">
        <v>10</v>
      </c>
      <c r="J187" t="n">
        <v>0</v>
      </c>
      <c r="K187" t="n">
        <v>0</v>
      </c>
      <c r="L187" t="n">
        <v>0</v>
      </c>
      <c r="N187" t="inlineStr">
        <is>
          <t>FFFFFF</t>
        </is>
      </c>
      <c r="O187" t="inlineStr">
        <is>
          <t>R</t>
        </is>
      </c>
      <c r="Q187" t="n">
        <v>2</v>
      </c>
      <c r="R187" t="b">
        <v>0</v>
      </c>
      <c r="S187" t="inlineStr">
        <is>
          <t xml:space="preserve"> </t>
        </is>
      </c>
      <c r="T187" t="n">
        <v>0</v>
      </c>
    </row>
    <row r="188" ht="15.75" customHeight="1">
      <c r="A188" t="inlineStr">
        <is>
          <t>policy_checklist3_text1</t>
        </is>
      </c>
      <c r="B188" t="n">
        <v>8</v>
      </c>
      <c r="C188" t="inlineStr">
        <is>
          <t>T</t>
        </is>
      </c>
      <c r="D188" t="n">
        <v>14</v>
      </c>
      <c r="E188" t="n">
        <v>149</v>
      </c>
      <c r="F188" t="n">
        <v>112</v>
      </c>
      <c r="G188" t="n">
        <v>154</v>
      </c>
      <c r="H188" t="inlineStr">
        <is>
          <t>custom</t>
        </is>
      </c>
      <c r="I188" t="n">
        <v>12</v>
      </c>
      <c r="J188" t="n">
        <v>0</v>
      </c>
      <c r="K188" t="n">
        <v>0</v>
      </c>
      <c r="L188" t="n">
        <v>0</v>
      </c>
      <c r="N188" t="inlineStr">
        <is>
          <t>d0d8dd</t>
        </is>
      </c>
      <c r="O188" t="inlineStr">
        <is>
          <t>L</t>
        </is>
      </c>
      <c r="Q188" t="n">
        <v>3</v>
      </c>
      <c r="R188" t="b">
        <v>1</v>
      </c>
      <c r="S188" t="inlineStr">
        <is>
          <t xml:space="preserve"> </t>
        </is>
      </c>
      <c r="T188" t="n">
        <v>0</v>
      </c>
    </row>
    <row r="189">
      <c r="A189" t="inlineStr">
        <is>
          <t>policy_checklist3_text1_response1</t>
        </is>
      </c>
      <c r="B189" t="n">
        <v>8</v>
      </c>
      <c r="C189" t="inlineStr">
        <is>
          <t>T</t>
        </is>
      </c>
      <c r="D189" t="n">
        <v>113</v>
      </c>
      <c r="E189" t="n">
        <v>150</v>
      </c>
      <c r="F189" t="n">
        <v>140</v>
      </c>
      <c r="G189" t="n">
        <v>153</v>
      </c>
      <c r="H189" t="inlineStr">
        <is>
          <t>dejavu</t>
        </is>
      </c>
      <c r="I189" t="n">
        <v>16</v>
      </c>
      <c r="J189" t="n">
        <v>1</v>
      </c>
      <c r="K189" t="n">
        <v>0</v>
      </c>
      <c r="L189" t="n">
        <v>0</v>
      </c>
      <c r="N189" t="inlineStr">
        <is>
          <t>d0d8dd</t>
        </is>
      </c>
      <c r="O189" t="inlineStr">
        <is>
          <t>C</t>
        </is>
      </c>
      <c r="Q189" t="n">
        <v>2</v>
      </c>
      <c r="R189" t="b">
        <v>0</v>
      </c>
      <c r="S189" t="inlineStr">
        <is>
          <t xml:space="preserve"> </t>
        </is>
      </c>
      <c r="T189" t="n">
        <v>0</v>
      </c>
    </row>
    <row r="190">
      <c r="A190" t="inlineStr">
        <is>
          <t>policy_checklist3_text1_response2</t>
        </is>
      </c>
      <c r="B190" t="n">
        <v>8</v>
      </c>
      <c r="C190" t="inlineStr">
        <is>
          <t>T</t>
        </is>
      </c>
      <c r="D190" t="n">
        <v>140</v>
      </c>
      <c r="E190" t="n">
        <v>150</v>
      </c>
      <c r="F190" t="n">
        <v>169</v>
      </c>
      <c r="G190" t="n">
        <v>153</v>
      </c>
      <c r="H190" t="inlineStr">
        <is>
          <t>dejavu</t>
        </is>
      </c>
      <c r="I190" t="n">
        <v>16</v>
      </c>
      <c r="J190" t="n">
        <v>1</v>
      </c>
      <c r="K190" t="n">
        <v>0</v>
      </c>
      <c r="L190" t="n">
        <v>0</v>
      </c>
      <c r="N190" t="inlineStr">
        <is>
          <t>d0d8dd</t>
        </is>
      </c>
      <c r="O190" t="inlineStr">
        <is>
          <t>C</t>
        </is>
      </c>
      <c r="Q190" t="n">
        <v>2</v>
      </c>
      <c r="R190" t="b">
        <v>0</v>
      </c>
      <c r="S190" t="inlineStr">
        <is>
          <t xml:space="preserve"> </t>
        </is>
      </c>
      <c r="T190" t="n">
        <v>0</v>
      </c>
    </row>
    <row r="191">
      <c r="A191" t="inlineStr">
        <is>
          <t>policy_checklist3_text1_response3</t>
        </is>
      </c>
      <c r="B191" t="n">
        <v>8</v>
      </c>
      <c r="C191" t="inlineStr">
        <is>
          <t>T</t>
        </is>
      </c>
      <c r="D191" t="n">
        <v>168</v>
      </c>
      <c r="E191" t="n">
        <v>150</v>
      </c>
      <c r="F191" t="n">
        <v>194</v>
      </c>
      <c r="G191" t="n">
        <v>153</v>
      </c>
      <c r="H191" t="inlineStr">
        <is>
          <t>dejavu</t>
        </is>
      </c>
      <c r="I191" t="n">
        <v>16</v>
      </c>
      <c r="J191" t="n">
        <v>1</v>
      </c>
      <c r="K191" t="n">
        <v>0</v>
      </c>
      <c r="L191" t="n">
        <v>0</v>
      </c>
      <c r="N191" t="inlineStr">
        <is>
          <t>d0d8dd</t>
        </is>
      </c>
      <c r="O191" t="inlineStr">
        <is>
          <t>C</t>
        </is>
      </c>
      <c r="Q191" t="n">
        <v>2</v>
      </c>
      <c r="R191" t="b">
        <v>0</v>
      </c>
      <c r="S191" t="inlineStr">
        <is>
          <t xml:space="preserve"> </t>
        </is>
      </c>
      <c r="T191" t="n">
        <v>0</v>
      </c>
    </row>
    <row r="192" ht="15.75" customHeight="1">
      <c r="A192" t="inlineStr">
        <is>
          <t>policy_checklist3_text2</t>
        </is>
      </c>
      <c r="B192" t="n">
        <v>8</v>
      </c>
      <c r="C192" t="inlineStr">
        <is>
          <t>T</t>
        </is>
      </c>
      <c r="D192" t="n">
        <v>14</v>
      </c>
      <c r="E192" t="n">
        <v>167</v>
      </c>
      <c r="F192" t="n">
        <v>112</v>
      </c>
      <c r="G192" t="n">
        <v>172</v>
      </c>
      <c r="H192" t="inlineStr">
        <is>
          <t>custom</t>
        </is>
      </c>
      <c r="I192" t="n">
        <v>12</v>
      </c>
      <c r="J192" t="n">
        <v>0</v>
      </c>
      <c r="K192" t="n">
        <v>0</v>
      </c>
      <c r="L192" t="n">
        <v>0</v>
      </c>
      <c r="N192" t="inlineStr">
        <is>
          <t>d0d8dd</t>
        </is>
      </c>
      <c r="O192" t="inlineStr">
        <is>
          <t>L</t>
        </is>
      </c>
      <c r="Q192" t="n">
        <v>3</v>
      </c>
      <c r="R192" t="b">
        <v>1</v>
      </c>
      <c r="S192" t="inlineStr">
        <is>
          <t xml:space="preserve"> </t>
        </is>
      </c>
      <c r="T192" t="n">
        <v>0</v>
      </c>
    </row>
    <row r="193">
      <c r="A193" t="inlineStr">
        <is>
          <t>policy_checklist3_text2_response1</t>
        </is>
      </c>
      <c r="B193" t="n">
        <v>8</v>
      </c>
      <c r="C193" t="inlineStr">
        <is>
          <t>T</t>
        </is>
      </c>
      <c r="D193" t="n">
        <v>113</v>
      </c>
      <c r="E193" t="n">
        <v>168</v>
      </c>
      <c r="F193" t="n">
        <v>140</v>
      </c>
      <c r="G193" t="n">
        <v>171</v>
      </c>
      <c r="H193" t="inlineStr">
        <is>
          <t>dejavu</t>
        </is>
      </c>
      <c r="I193" t="n">
        <v>16</v>
      </c>
      <c r="J193" t="n">
        <v>1</v>
      </c>
      <c r="K193" t="n">
        <v>0</v>
      </c>
      <c r="L193" t="n">
        <v>0</v>
      </c>
      <c r="N193" t="inlineStr">
        <is>
          <t>d0d8dd</t>
        </is>
      </c>
      <c r="O193" t="inlineStr">
        <is>
          <t>C</t>
        </is>
      </c>
      <c r="Q193" t="n">
        <v>2</v>
      </c>
      <c r="R193" t="b">
        <v>0</v>
      </c>
      <c r="S193" t="inlineStr">
        <is>
          <t xml:space="preserve"> </t>
        </is>
      </c>
      <c r="T193" t="n">
        <v>0</v>
      </c>
    </row>
    <row r="194">
      <c r="A194" t="inlineStr">
        <is>
          <t>policy_checklist3_text2_response2</t>
        </is>
      </c>
      <c r="B194" t="n">
        <v>8</v>
      </c>
      <c r="C194" t="inlineStr">
        <is>
          <t>T</t>
        </is>
      </c>
      <c r="D194" t="n">
        <v>140</v>
      </c>
      <c r="E194" t="n">
        <v>168</v>
      </c>
      <c r="F194" t="n">
        <v>169</v>
      </c>
      <c r="G194" t="n">
        <v>171</v>
      </c>
      <c r="H194" t="inlineStr">
        <is>
          <t>dejavu</t>
        </is>
      </c>
      <c r="I194" t="n">
        <v>16</v>
      </c>
      <c r="J194" t="n">
        <v>1</v>
      </c>
      <c r="K194" t="n">
        <v>0</v>
      </c>
      <c r="L194" t="n">
        <v>0</v>
      </c>
      <c r="N194" t="inlineStr">
        <is>
          <t>d0d8dd</t>
        </is>
      </c>
      <c r="O194" t="inlineStr">
        <is>
          <t>C</t>
        </is>
      </c>
      <c r="Q194" t="n">
        <v>2</v>
      </c>
      <c r="R194" t="b">
        <v>0</v>
      </c>
      <c r="S194" t="inlineStr">
        <is>
          <t xml:space="preserve"> </t>
        </is>
      </c>
      <c r="T194" t="n">
        <v>0</v>
      </c>
    </row>
    <row r="195">
      <c r="A195" t="inlineStr">
        <is>
          <t>policy_checklist3_text2_response3</t>
        </is>
      </c>
      <c r="B195" t="n">
        <v>8</v>
      </c>
      <c r="C195" t="inlineStr">
        <is>
          <t>T</t>
        </is>
      </c>
      <c r="D195" t="n">
        <v>168</v>
      </c>
      <c r="E195" t="n">
        <v>168</v>
      </c>
      <c r="F195" t="n">
        <v>194</v>
      </c>
      <c r="G195" t="n">
        <v>171</v>
      </c>
      <c r="H195" t="inlineStr">
        <is>
          <t>dejavu</t>
        </is>
      </c>
      <c r="I195" t="n">
        <v>16</v>
      </c>
      <c r="J195" t="n">
        <v>1</v>
      </c>
      <c r="K195" t="n">
        <v>0</v>
      </c>
      <c r="L195" t="n">
        <v>0</v>
      </c>
      <c r="N195" t="inlineStr">
        <is>
          <t>d0d8dd</t>
        </is>
      </c>
      <c r="O195" t="inlineStr">
        <is>
          <t>C</t>
        </is>
      </c>
      <c r="Q195" t="n">
        <v>2</v>
      </c>
      <c r="R195" t="b">
        <v>0</v>
      </c>
      <c r="S195" t="inlineStr">
        <is>
          <t xml:space="preserve"> </t>
        </is>
      </c>
      <c r="T195" t="n">
        <v>0</v>
      </c>
    </row>
    <row r="196" ht="15.75" customHeight="1">
      <c r="A196" t="inlineStr">
        <is>
          <t>policy_checklist3_text3</t>
        </is>
      </c>
      <c r="B196" t="n">
        <v>8</v>
      </c>
      <c r="C196" t="inlineStr">
        <is>
          <t>T</t>
        </is>
      </c>
      <c r="D196" t="n">
        <v>14</v>
      </c>
      <c r="E196" t="n">
        <v>185</v>
      </c>
      <c r="F196" t="n">
        <v>112</v>
      </c>
      <c r="G196" t="n">
        <v>190</v>
      </c>
      <c r="H196" t="inlineStr">
        <is>
          <t>custom</t>
        </is>
      </c>
      <c r="I196" t="n">
        <v>12</v>
      </c>
      <c r="J196" t="n">
        <v>0</v>
      </c>
      <c r="K196" t="n">
        <v>0</v>
      </c>
      <c r="L196" t="n">
        <v>0</v>
      </c>
      <c r="N196" t="inlineStr">
        <is>
          <t>d0d8dd</t>
        </is>
      </c>
      <c r="O196" t="inlineStr">
        <is>
          <t>L</t>
        </is>
      </c>
      <c r="Q196" t="n">
        <v>3</v>
      </c>
      <c r="R196" t="b">
        <v>1</v>
      </c>
      <c r="S196" t="inlineStr">
        <is>
          <t xml:space="preserve"> </t>
        </is>
      </c>
      <c r="T196" t="n">
        <v>0</v>
      </c>
    </row>
    <row r="197">
      <c r="A197" t="inlineStr">
        <is>
          <t>policy_checklist3_text3_response1</t>
        </is>
      </c>
      <c r="B197" t="n">
        <v>8</v>
      </c>
      <c r="C197" t="inlineStr">
        <is>
          <t>T</t>
        </is>
      </c>
      <c r="D197" t="n">
        <v>113</v>
      </c>
      <c r="E197" t="n">
        <v>186</v>
      </c>
      <c r="F197" t="n">
        <v>140</v>
      </c>
      <c r="G197" t="n">
        <v>189</v>
      </c>
      <c r="H197" t="inlineStr">
        <is>
          <t>dejavu</t>
        </is>
      </c>
      <c r="I197" t="n">
        <v>16</v>
      </c>
      <c r="J197" t="n">
        <v>1</v>
      </c>
      <c r="K197" t="n">
        <v>0</v>
      </c>
      <c r="L197" t="n">
        <v>0</v>
      </c>
      <c r="N197" t="inlineStr">
        <is>
          <t>d0d8dd</t>
        </is>
      </c>
      <c r="O197" t="inlineStr">
        <is>
          <t>C</t>
        </is>
      </c>
      <c r="Q197" t="n">
        <v>2</v>
      </c>
      <c r="R197" t="b">
        <v>0</v>
      </c>
      <c r="S197" t="inlineStr">
        <is>
          <t xml:space="preserve"> </t>
        </is>
      </c>
      <c r="T197" t="n">
        <v>0</v>
      </c>
    </row>
    <row r="198">
      <c r="A198" t="inlineStr">
        <is>
          <t>policy_checklist3_text3_response2</t>
        </is>
      </c>
      <c r="B198" t="n">
        <v>8</v>
      </c>
      <c r="C198" t="inlineStr">
        <is>
          <t>T</t>
        </is>
      </c>
      <c r="D198" t="n">
        <v>140</v>
      </c>
      <c r="E198" t="n">
        <v>186</v>
      </c>
      <c r="F198" t="n">
        <v>169</v>
      </c>
      <c r="G198" t="n">
        <v>189</v>
      </c>
      <c r="H198" t="inlineStr">
        <is>
          <t>dejavu</t>
        </is>
      </c>
      <c r="I198" t="n">
        <v>16</v>
      </c>
      <c r="J198" t="n">
        <v>1</v>
      </c>
      <c r="K198" t="n">
        <v>0</v>
      </c>
      <c r="L198" t="n">
        <v>0</v>
      </c>
      <c r="N198" t="inlineStr">
        <is>
          <t>d0d8dd</t>
        </is>
      </c>
      <c r="O198" t="inlineStr">
        <is>
          <t>C</t>
        </is>
      </c>
      <c r="Q198" t="n">
        <v>2</v>
      </c>
      <c r="R198" t="b">
        <v>0</v>
      </c>
      <c r="S198" t="inlineStr">
        <is>
          <t xml:space="preserve"> </t>
        </is>
      </c>
      <c r="T198" t="n">
        <v>0</v>
      </c>
    </row>
    <row r="199">
      <c r="A199" t="inlineStr">
        <is>
          <t>policy_checklist3_text3_response3</t>
        </is>
      </c>
      <c r="B199" t="n">
        <v>8</v>
      </c>
      <c r="C199" t="inlineStr">
        <is>
          <t>T</t>
        </is>
      </c>
      <c r="D199" t="n">
        <v>168</v>
      </c>
      <c r="E199" t="n">
        <v>186</v>
      </c>
      <c r="F199" t="n">
        <v>194</v>
      </c>
      <c r="G199" t="n">
        <v>189</v>
      </c>
      <c r="H199" t="inlineStr">
        <is>
          <t>dejavu</t>
        </is>
      </c>
      <c r="I199" t="n">
        <v>16</v>
      </c>
      <c r="J199" t="n">
        <v>1</v>
      </c>
      <c r="K199" t="n">
        <v>0</v>
      </c>
      <c r="L199" t="n">
        <v>0</v>
      </c>
      <c r="N199" t="inlineStr">
        <is>
          <t>d0d8dd</t>
        </is>
      </c>
      <c r="O199" t="inlineStr">
        <is>
          <t>C</t>
        </is>
      </c>
      <c r="Q199" t="n">
        <v>2</v>
      </c>
      <c r="R199" t="b">
        <v>0</v>
      </c>
      <c r="S199" t="inlineStr">
        <is>
          <t xml:space="preserve"> </t>
        </is>
      </c>
      <c r="T199" t="n">
        <v>0</v>
      </c>
    </row>
    <row r="200">
      <c r="A200" t="inlineStr">
        <is>
          <t>pos_header</t>
        </is>
      </c>
      <c r="B200" t="n">
        <v>9</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xml:space="preserve"> </t>
        </is>
      </c>
      <c r="T200" t="n">
        <v>0</v>
      </c>
    </row>
    <row r="201">
      <c r="A201" t="inlineStr">
        <is>
          <t>pos_description</t>
        </is>
      </c>
      <c r="B201" t="n">
        <v>9</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2</v>
      </c>
      <c r="R201" t="b">
        <v>1</v>
      </c>
      <c r="S201" t="inlineStr">
        <is>
          <t xml:space="preserve"> </t>
        </is>
      </c>
      <c r="T201" t="n">
        <v>0</v>
      </c>
    </row>
    <row r="202">
      <c r="A202" t="inlineStr">
        <is>
          <t>policy_checklist4_box</t>
        </is>
      </c>
      <c r="B202" t="n">
        <v>9</v>
      </c>
      <c r="C202" t="inlineStr">
        <is>
          <t>B</t>
        </is>
      </c>
      <c r="D202" t="n">
        <v>0</v>
      </c>
      <c r="E202" t="n">
        <v>120</v>
      </c>
      <c r="F202" t="n">
        <v>210</v>
      </c>
      <c r="G202" t="n">
        <v>168</v>
      </c>
      <c r="I202" t="n">
        <v>0</v>
      </c>
      <c r="J202" t="n">
        <v>1</v>
      </c>
      <c r="K202" t="n">
        <v>0</v>
      </c>
      <c r="L202" t="n">
        <v>0</v>
      </c>
      <c r="M202" t="inlineStr">
        <is>
          <t>d0d8dd</t>
        </is>
      </c>
      <c r="N202" t="inlineStr">
        <is>
          <t>d0d8dd</t>
        </is>
      </c>
      <c r="O202" t="inlineStr">
        <is>
          <t>L</t>
        </is>
      </c>
      <c r="Q202" t="n">
        <v>1</v>
      </c>
      <c r="R202" t="b">
        <v>0</v>
      </c>
      <c r="S202" t="inlineStr">
        <is>
          <t xml:space="preserve"> </t>
        </is>
      </c>
      <c r="T202" t="n">
        <v>0</v>
      </c>
    </row>
    <row r="203">
      <c r="A203" t="inlineStr">
        <is>
          <t>policy_checklist4_title</t>
        </is>
      </c>
      <c r="B203" t="n">
        <v>-999</v>
      </c>
      <c r="C203" t="inlineStr">
        <is>
          <t>T</t>
        </is>
      </c>
      <c r="D203" t="n">
        <v>14</v>
      </c>
      <c r="E203" t="n">
        <v>125</v>
      </c>
      <c r="F203" t="n">
        <v>196</v>
      </c>
      <c r="G203" t="n">
        <v>128</v>
      </c>
      <c r="H203" t="inlineStr">
        <is>
          <t>custom</t>
        </is>
      </c>
      <c r="I203" t="n">
        <v>12</v>
      </c>
      <c r="J203" t="n">
        <v>1</v>
      </c>
      <c r="K203" t="n">
        <v>0</v>
      </c>
      <c r="L203" t="n">
        <v>0</v>
      </c>
      <c r="N203" t="inlineStr">
        <is>
          <t>d0d8dd</t>
        </is>
      </c>
      <c r="O203" t="inlineStr">
        <is>
          <t>L</t>
        </is>
      </c>
      <c r="Q203" t="n">
        <v>3</v>
      </c>
      <c r="R203" t="b">
        <v>0</v>
      </c>
      <c r="S203" t="inlineStr">
        <is>
          <t xml:space="preserve"> </t>
        </is>
      </c>
      <c r="T203" t="n">
        <v>0</v>
      </c>
    </row>
    <row r="204">
      <c r="A204" t="inlineStr">
        <is>
          <t>policy_checklist_header1</t>
        </is>
      </c>
      <c r="B204" t="n">
        <v>9</v>
      </c>
      <c r="C204" t="inlineStr">
        <is>
          <t>T</t>
        </is>
      </c>
      <c r="D204" t="n">
        <v>113</v>
      </c>
      <c r="E204" t="n">
        <v>122</v>
      </c>
      <c r="F204" t="n">
        <v>140</v>
      </c>
      <c r="G204" t="n">
        <v>127</v>
      </c>
      <c r="H204" t="inlineStr">
        <is>
          <t>custom</t>
        </is>
      </c>
      <c r="I204" t="n">
        <v>10</v>
      </c>
      <c r="J204" t="n">
        <v>1</v>
      </c>
      <c r="K204" t="n">
        <v>0</v>
      </c>
      <c r="L204" t="n">
        <v>0</v>
      </c>
      <c r="N204" t="inlineStr">
        <is>
          <t>d0d8dd</t>
        </is>
      </c>
      <c r="O204" t="inlineStr">
        <is>
          <t>C</t>
        </is>
      </c>
      <c r="Q204" t="n">
        <v>3</v>
      </c>
      <c r="R204" t="b">
        <v>1</v>
      </c>
      <c r="S204" t="inlineStr">
        <is>
          <t xml:space="preserve"> </t>
        </is>
      </c>
      <c r="T204" t="n">
        <v>0</v>
      </c>
    </row>
    <row r="205">
      <c r="A205" t="inlineStr">
        <is>
          <t>policy_checklist_header2</t>
        </is>
      </c>
      <c r="B205" t="n">
        <v>9</v>
      </c>
      <c r="C205" t="inlineStr">
        <is>
          <t>T</t>
        </is>
      </c>
      <c r="D205" t="n">
        <v>140</v>
      </c>
      <c r="E205" t="n">
        <v>122</v>
      </c>
      <c r="F205" t="n">
        <v>169</v>
      </c>
      <c r="G205" t="n">
        <v>127</v>
      </c>
      <c r="H205" t="inlineStr">
        <is>
          <t>custom</t>
        </is>
      </c>
      <c r="I205" t="n">
        <v>10</v>
      </c>
      <c r="J205" t="n">
        <v>1</v>
      </c>
      <c r="K205" t="n">
        <v>0</v>
      </c>
      <c r="L205" t="n">
        <v>0</v>
      </c>
      <c r="N205" t="inlineStr">
        <is>
          <t>d0d8dd</t>
        </is>
      </c>
      <c r="O205" t="inlineStr">
        <is>
          <t>C</t>
        </is>
      </c>
      <c r="Q205" t="n">
        <v>3</v>
      </c>
      <c r="R205" t="b">
        <v>1</v>
      </c>
      <c r="S205" t="inlineStr">
        <is>
          <t xml:space="preserve"> </t>
        </is>
      </c>
      <c r="T205" t="n">
        <v>0</v>
      </c>
    </row>
    <row r="206">
      <c r="A206" t="inlineStr">
        <is>
          <t>policy_checklist_header3</t>
        </is>
      </c>
      <c r="B206" t="n">
        <v>9</v>
      </c>
      <c r="C206" t="inlineStr">
        <is>
          <t>T</t>
        </is>
      </c>
      <c r="D206" t="n">
        <v>168</v>
      </c>
      <c r="E206" t="n">
        <v>122</v>
      </c>
      <c r="F206" t="n">
        <v>194</v>
      </c>
      <c r="G206" t="n">
        <v>127</v>
      </c>
      <c r="H206" t="inlineStr">
        <is>
          <t>custom</t>
        </is>
      </c>
      <c r="I206" t="n">
        <v>10</v>
      </c>
      <c r="J206" t="n">
        <v>1</v>
      </c>
      <c r="K206" t="n">
        <v>0</v>
      </c>
      <c r="L206" t="n">
        <v>0</v>
      </c>
      <c r="N206" t="inlineStr">
        <is>
          <t>d0d8dd</t>
        </is>
      </c>
      <c r="O206" t="inlineStr">
        <is>
          <t>C</t>
        </is>
      </c>
      <c r="Q206" t="n">
        <v>3</v>
      </c>
      <c r="R206" t="b">
        <v>1</v>
      </c>
      <c r="S206" t="inlineStr">
        <is>
          <t xml:space="preserve"> </t>
        </is>
      </c>
      <c r="T206" t="n">
        <v>0</v>
      </c>
    </row>
    <row r="207">
      <c r="A207" t="inlineStr">
        <is>
          <t>table_vline1</t>
        </is>
      </c>
      <c r="B207" t="n">
        <v>9</v>
      </c>
      <c r="C207" t="inlineStr">
        <is>
          <t>L</t>
        </is>
      </c>
      <c r="D207" t="n">
        <v>114</v>
      </c>
      <c r="E207" t="n">
        <v>120</v>
      </c>
      <c r="F207" t="n">
        <v>114</v>
      </c>
      <c r="G207" t="n">
        <v>168</v>
      </c>
      <c r="I207" t="n">
        <v>0.5</v>
      </c>
      <c r="J207" t="n">
        <v>0</v>
      </c>
      <c r="K207" t="n">
        <v>0</v>
      </c>
      <c r="L207" t="n">
        <v>0</v>
      </c>
      <c r="M207" t="inlineStr">
        <is>
          <t>FFFFFF</t>
        </is>
      </c>
      <c r="N207" t="inlineStr">
        <is>
          <t>d0d8dd</t>
        </is>
      </c>
      <c r="O207" t="inlineStr">
        <is>
          <t>L</t>
        </is>
      </c>
      <c r="Q207" t="n">
        <v>4</v>
      </c>
      <c r="R207" t="b">
        <v>0</v>
      </c>
      <c r="S207" t="inlineStr">
        <is>
          <t xml:space="preserve"> </t>
        </is>
      </c>
      <c r="T207" t="n">
        <v>0</v>
      </c>
    </row>
    <row r="208">
      <c r="A208" t="inlineStr">
        <is>
          <t>table_vline2</t>
        </is>
      </c>
      <c r="B208" t="n">
        <v>9</v>
      </c>
      <c r="C208" t="inlineStr">
        <is>
          <t>L</t>
        </is>
      </c>
      <c r="D208" t="n">
        <v>141</v>
      </c>
      <c r="E208" t="n">
        <v>120</v>
      </c>
      <c r="F208" t="n">
        <v>141</v>
      </c>
      <c r="G208" t="n">
        <v>168</v>
      </c>
      <c r="I208" t="n">
        <v>0.5</v>
      </c>
      <c r="J208" t="n">
        <v>0</v>
      </c>
      <c r="K208" t="n">
        <v>0</v>
      </c>
      <c r="L208" t="n">
        <v>0</v>
      </c>
      <c r="M208" t="inlineStr">
        <is>
          <t>FFFFFF</t>
        </is>
      </c>
      <c r="N208" t="inlineStr">
        <is>
          <t>d0d8dd</t>
        </is>
      </c>
      <c r="O208" t="inlineStr">
        <is>
          <t>L</t>
        </is>
      </c>
      <c r="Q208" t="n">
        <v>4</v>
      </c>
      <c r="R208" t="b">
        <v>0</v>
      </c>
      <c r="S208" t="inlineStr">
        <is>
          <t xml:space="preserve"> </t>
        </is>
      </c>
      <c r="T208" t="n">
        <v>0</v>
      </c>
    </row>
    <row r="209">
      <c r="A209" t="inlineStr">
        <is>
          <t>table_vline3</t>
        </is>
      </c>
      <c r="B209" t="n">
        <v>9</v>
      </c>
      <c r="C209" t="inlineStr">
        <is>
          <t>L</t>
        </is>
      </c>
      <c r="D209" t="n">
        <v>168</v>
      </c>
      <c r="E209" t="n">
        <v>120</v>
      </c>
      <c r="F209" t="n">
        <v>168</v>
      </c>
      <c r="G209" t="n">
        <v>168</v>
      </c>
      <c r="I209" t="n">
        <v>0.5</v>
      </c>
      <c r="J209" t="n">
        <v>0</v>
      </c>
      <c r="K209" t="n">
        <v>0</v>
      </c>
      <c r="L209" t="n">
        <v>0</v>
      </c>
      <c r="M209" t="inlineStr">
        <is>
          <t>FFFFFF</t>
        </is>
      </c>
      <c r="N209" t="inlineStr">
        <is>
          <t>d0d8dd</t>
        </is>
      </c>
      <c r="O209" t="inlineStr">
        <is>
          <t>L</t>
        </is>
      </c>
      <c r="Q209" t="n">
        <v>4</v>
      </c>
      <c r="R209" t="b">
        <v>0</v>
      </c>
      <c r="S209" t="inlineStr">
        <is>
          <t xml:space="preserve"> </t>
        </is>
      </c>
      <c r="T209" t="n">
        <v>0</v>
      </c>
    </row>
    <row r="210">
      <c r="A210" t="inlineStr">
        <is>
          <t>table_hline_mid</t>
        </is>
      </c>
      <c r="B210" t="n">
        <v>9</v>
      </c>
      <c r="C210" t="inlineStr">
        <is>
          <t>L</t>
        </is>
      </c>
      <c r="D210" t="n">
        <v>14</v>
      </c>
      <c r="E210" t="n">
        <v>147</v>
      </c>
      <c r="F210" t="n">
        <v>196</v>
      </c>
      <c r="G210" t="n">
        <v>147</v>
      </c>
      <c r="I210" t="n">
        <v>0.5</v>
      </c>
      <c r="J210" t="n">
        <v>0</v>
      </c>
      <c r="K210" t="n">
        <v>0</v>
      </c>
      <c r="L210" t="n">
        <v>0</v>
      </c>
      <c r="M210" t="inlineStr">
        <is>
          <t>FFFFFF</t>
        </is>
      </c>
      <c r="N210" t="inlineStr">
        <is>
          <t>d0d8dd</t>
        </is>
      </c>
      <c r="O210" t="inlineStr">
        <is>
          <t>L</t>
        </is>
      </c>
      <c r="Q210" t="n">
        <v>4</v>
      </c>
      <c r="R210" t="b">
        <v>0</v>
      </c>
      <c r="S210" t="inlineStr">
        <is>
          <t xml:space="preserve"> </t>
        </is>
      </c>
      <c r="T210" t="n">
        <v>0</v>
      </c>
    </row>
    <row r="211">
      <c r="A211" t="inlineStr">
        <is>
          <t>Policy key</t>
        </is>
      </c>
      <c r="B211" t="n">
        <v>9</v>
      </c>
      <c r="C211" t="inlineStr">
        <is>
          <t>T</t>
        </is>
      </c>
      <c r="D211" t="n">
        <v>14</v>
      </c>
      <c r="E211" t="n">
        <v>170</v>
      </c>
      <c r="F211" t="n">
        <v>196</v>
      </c>
      <c r="G211" t="n">
        <v>174</v>
      </c>
      <c r="H211" t="inlineStr">
        <is>
          <t>custom</t>
        </is>
      </c>
      <c r="I211" t="n">
        <v>10</v>
      </c>
      <c r="J211" t="n">
        <v>0</v>
      </c>
      <c r="K211" t="n">
        <v>0</v>
      </c>
      <c r="L211" t="n">
        <v>0</v>
      </c>
      <c r="N211" t="inlineStr">
        <is>
          <t>FFFFFF</t>
        </is>
      </c>
      <c r="O211" t="inlineStr">
        <is>
          <t>R</t>
        </is>
      </c>
      <c r="Q211" t="n">
        <v>2</v>
      </c>
      <c r="R211" t="b">
        <v>0</v>
      </c>
      <c r="S211" t="inlineStr">
        <is>
          <t xml:space="preserve"> </t>
        </is>
      </c>
      <c r="T211" t="n">
        <v>0</v>
      </c>
    </row>
    <row r="212" ht="15.75" customHeight="1">
      <c r="A212" t="inlineStr">
        <is>
          <t>policy_checklist4_text1</t>
        </is>
      </c>
      <c r="B212" t="n">
        <v>9</v>
      </c>
      <c r="C212" t="inlineStr">
        <is>
          <t>T</t>
        </is>
      </c>
      <c r="D212" t="n">
        <v>14</v>
      </c>
      <c r="E212" t="n">
        <v>149</v>
      </c>
      <c r="F212" t="n">
        <v>112</v>
      </c>
      <c r="G212" t="n">
        <v>154</v>
      </c>
      <c r="H212" t="inlineStr">
        <is>
          <t>custom</t>
        </is>
      </c>
      <c r="I212" t="n">
        <v>12</v>
      </c>
      <c r="J212" t="n">
        <v>0</v>
      </c>
      <c r="K212" t="n">
        <v>0</v>
      </c>
      <c r="L212" t="n">
        <v>0</v>
      </c>
      <c r="N212" t="inlineStr">
        <is>
          <t>d0d8dd</t>
        </is>
      </c>
      <c r="O212" t="inlineStr">
        <is>
          <t>L</t>
        </is>
      </c>
      <c r="Q212" t="n">
        <v>3</v>
      </c>
      <c r="R212" t="b">
        <v>1</v>
      </c>
      <c r="S212" t="inlineStr">
        <is>
          <t xml:space="preserve"> </t>
        </is>
      </c>
      <c r="T212" t="n">
        <v>0</v>
      </c>
    </row>
    <row r="213">
      <c r="A213" t="inlineStr">
        <is>
          <t>policy_checklist4_text1_response1</t>
        </is>
      </c>
      <c r="B213" t="n">
        <v>9</v>
      </c>
      <c r="C213" t="inlineStr">
        <is>
          <t>T</t>
        </is>
      </c>
      <c r="D213" t="n">
        <v>113</v>
      </c>
      <c r="E213" t="n">
        <v>150</v>
      </c>
      <c r="F213" t="n">
        <v>140</v>
      </c>
      <c r="G213" t="n">
        <v>153</v>
      </c>
      <c r="H213" t="inlineStr">
        <is>
          <t>dejavu</t>
        </is>
      </c>
      <c r="I213" t="n">
        <v>16</v>
      </c>
      <c r="J213" t="n">
        <v>1</v>
      </c>
      <c r="K213" t="n">
        <v>0</v>
      </c>
      <c r="L213" t="n">
        <v>0</v>
      </c>
      <c r="N213" t="inlineStr">
        <is>
          <t>d0d8dd</t>
        </is>
      </c>
      <c r="O213" t="inlineStr">
        <is>
          <t>C</t>
        </is>
      </c>
      <c r="Q213" t="n">
        <v>2</v>
      </c>
      <c r="R213" t="b">
        <v>0</v>
      </c>
      <c r="S213" t="inlineStr">
        <is>
          <t xml:space="preserve"> </t>
        </is>
      </c>
      <c r="T213" t="n">
        <v>0</v>
      </c>
    </row>
    <row r="214">
      <c r="A214" t="inlineStr">
        <is>
          <t>policy_checklist4_text1_response2</t>
        </is>
      </c>
      <c r="B214" t="n">
        <v>9</v>
      </c>
      <c r="C214" t="inlineStr">
        <is>
          <t>T</t>
        </is>
      </c>
      <c r="D214" t="n">
        <v>140</v>
      </c>
      <c r="E214" t="n">
        <v>150</v>
      </c>
      <c r="F214" t="n">
        <v>169</v>
      </c>
      <c r="G214" t="n">
        <v>153</v>
      </c>
      <c r="H214" t="inlineStr">
        <is>
          <t>dejavu</t>
        </is>
      </c>
      <c r="I214" t="n">
        <v>16</v>
      </c>
      <c r="J214" t="n">
        <v>1</v>
      </c>
      <c r="K214" t="n">
        <v>0</v>
      </c>
      <c r="L214" t="n">
        <v>0</v>
      </c>
      <c r="N214" t="inlineStr">
        <is>
          <t>d0d8dd</t>
        </is>
      </c>
      <c r="O214" t="inlineStr">
        <is>
          <t>C</t>
        </is>
      </c>
      <c r="Q214" t="n">
        <v>2</v>
      </c>
      <c r="R214" t="b">
        <v>0</v>
      </c>
      <c r="S214" t="inlineStr">
        <is>
          <t xml:space="preserve"> </t>
        </is>
      </c>
      <c r="T214" t="n">
        <v>0</v>
      </c>
    </row>
    <row r="215">
      <c r="A215" t="inlineStr">
        <is>
          <t>policy_checklist4_text1_response3</t>
        </is>
      </c>
      <c r="B215" t="n">
        <v>9</v>
      </c>
      <c r="C215" t="inlineStr">
        <is>
          <t>T</t>
        </is>
      </c>
      <c r="D215" t="n">
        <v>168</v>
      </c>
      <c r="E215" t="n">
        <v>150</v>
      </c>
      <c r="F215" t="n">
        <v>194</v>
      </c>
      <c r="G215" t="n">
        <v>153</v>
      </c>
      <c r="H215" t="inlineStr">
        <is>
          <t>dejavu</t>
        </is>
      </c>
      <c r="I215" t="n">
        <v>16</v>
      </c>
      <c r="J215" t="n">
        <v>1</v>
      </c>
      <c r="K215" t="n">
        <v>0</v>
      </c>
      <c r="L215" t="n">
        <v>0</v>
      </c>
      <c r="N215" t="inlineStr">
        <is>
          <t>d0d8dd</t>
        </is>
      </c>
      <c r="O215" t="inlineStr">
        <is>
          <t>C</t>
        </is>
      </c>
      <c r="Q215" t="n">
        <v>2</v>
      </c>
      <c r="R215" t="b">
        <v>0</v>
      </c>
      <c r="S215" t="inlineStr">
        <is>
          <t xml:space="preserve"> </t>
        </is>
      </c>
      <c r="T215" t="n">
        <v>0</v>
      </c>
    </row>
    <row r="216">
      <c r="A216" t="inlineStr">
        <is>
          <t>Urban air quality, and nature-based solutions</t>
        </is>
      </c>
      <c r="B216" t="n">
        <v>10</v>
      </c>
      <c r="C216" t="inlineStr">
        <is>
          <t>T</t>
        </is>
      </c>
      <c r="D216" t="n">
        <v>14</v>
      </c>
      <c r="E216" t="n">
        <v>20</v>
      </c>
      <c r="F216" t="n">
        <v>196</v>
      </c>
      <c r="G216" t="n">
        <v>25</v>
      </c>
      <c r="H216" t="inlineStr">
        <is>
          <t>custom</t>
        </is>
      </c>
      <c r="I216" t="n">
        <v>14</v>
      </c>
      <c r="J216" t="n">
        <v>1</v>
      </c>
      <c r="K216" t="n">
        <v>0</v>
      </c>
      <c r="L216" t="n">
        <v>0</v>
      </c>
      <c r="N216" t="inlineStr">
        <is>
          <t>FFFFFF</t>
        </is>
      </c>
      <c r="O216" t="inlineStr">
        <is>
          <t>L</t>
        </is>
      </c>
      <c r="Q216" t="n">
        <v>2</v>
      </c>
      <c r="R216" t="b">
        <v>1</v>
      </c>
      <c r="S216" t="inlineStr">
        <is>
          <t xml:space="preserve"> </t>
        </is>
      </c>
      <c r="T216" t="n">
        <v>0</v>
      </c>
    </row>
    <row r="217">
      <c r="A217" t="inlineStr">
        <is>
          <t>Climate resilient cities policies description</t>
        </is>
      </c>
      <c r="B217" t="n">
        <v>10</v>
      </c>
      <c r="C217" t="inlineStr">
        <is>
          <t>T</t>
        </is>
      </c>
      <c r="D217" t="n">
        <v>14</v>
      </c>
      <c r="E217" t="n">
        <v>33</v>
      </c>
      <c r="F217" t="n">
        <v>196</v>
      </c>
      <c r="G217" t="n">
        <v>38</v>
      </c>
      <c r="H217" t="inlineStr">
        <is>
          <t>custom</t>
        </is>
      </c>
      <c r="I217" t="n">
        <v>12</v>
      </c>
      <c r="J217" t="n">
        <v>0</v>
      </c>
      <c r="K217" t="n">
        <v>0</v>
      </c>
      <c r="L217" t="n">
        <v>0</v>
      </c>
      <c r="N217" t="inlineStr">
        <is>
          <t>FFFFFF</t>
        </is>
      </c>
      <c r="O217" t="inlineStr">
        <is>
          <t>L</t>
        </is>
      </c>
      <c r="Q217" t="n">
        <v>2</v>
      </c>
      <c r="R217" t="b">
        <v>1</v>
      </c>
      <c r="T217" t="n">
        <v>0</v>
      </c>
    </row>
    <row r="218">
      <c r="A218" t="inlineStr">
        <is>
          <t>policy_box_checklist5</t>
        </is>
      </c>
      <c r="B218" t="n">
        <v>10</v>
      </c>
      <c r="C218" t="inlineStr">
        <is>
          <t>B</t>
        </is>
      </c>
      <c r="D218" t="n">
        <v>0</v>
      </c>
      <c r="E218" t="n">
        <v>120</v>
      </c>
      <c r="F218" t="n">
        <v>210</v>
      </c>
      <c r="G218" t="n">
        <v>213</v>
      </c>
      <c r="I218" t="n">
        <v>0</v>
      </c>
      <c r="J218" t="n">
        <v>1</v>
      </c>
      <c r="K218" t="n">
        <v>0</v>
      </c>
      <c r="L218" t="n">
        <v>0</v>
      </c>
      <c r="M218" t="inlineStr">
        <is>
          <t>d0d8dd</t>
        </is>
      </c>
      <c r="N218" t="inlineStr">
        <is>
          <t>d0d8dd</t>
        </is>
      </c>
      <c r="O218" t="inlineStr">
        <is>
          <t>L</t>
        </is>
      </c>
      <c r="Q218" t="n">
        <v>1</v>
      </c>
      <c r="R218" t="b">
        <v>0</v>
      </c>
      <c r="S218" t="inlineStr">
        <is>
          <t xml:space="preserve"> </t>
        </is>
      </c>
      <c r="T218" t="n">
        <v>0</v>
      </c>
    </row>
    <row r="219">
      <c r="A219" t="inlineStr">
        <is>
          <t>policy_checklist5_title</t>
        </is>
      </c>
      <c r="B219" t="n">
        <v>10</v>
      </c>
      <c r="C219" t="inlineStr">
        <is>
          <t>T</t>
        </is>
      </c>
      <c r="D219" t="n">
        <v>14</v>
      </c>
      <c r="E219" t="n">
        <v>125</v>
      </c>
      <c r="F219" t="n">
        <v>196</v>
      </c>
      <c r="G219" t="n">
        <v>128</v>
      </c>
      <c r="H219" t="inlineStr">
        <is>
          <t>custom</t>
        </is>
      </c>
      <c r="I219" t="n">
        <v>12</v>
      </c>
      <c r="J219" t="n">
        <v>1</v>
      </c>
      <c r="K219" t="n">
        <v>0</v>
      </c>
      <c r="L219" t="n">
        <v>0</v>
      </c>
      <c r="N219" t="inlineStr">
        <is>
          <t>d0d8dd</t>
        </is>
      </c>
      <c r="O219" t="inlineStr">
        <is>
          <t>L</t>
        </is>
      </c>
      <c r="Q219" t="n">
        <v>3</v>
      </c>
      <c r="R219" t="b">
        <v>0</v>
      </c>
      <c r="S219" t="inlineStr">
        <is>
          <t xml:space="preserve"> </t>
        </is>
      </c>
      <c r="T219" t="n">
        <v>0</v>
      </c>
    </row>
    <row r="220">
      <c r="A220" t="inlineStr">
        <is>
          <t>policy_checklist_header1</t>
        </is>
      </c>
      <c r="B220" t="n">
        <v>10</v>
      </c>
      <c r="C220" t="inlineStr">
        <is>
          <t>T</t>
        </is>
      </c>
      <c r="D220" t="n">
        <v>113</v>
      </c>
      <c r="E220" t="n">
        <v>122</v>
      </c>
      <c r="F220" t="n">
        <v>140</v>
      </c>
      <c r="G220" t="n">
        <v>127</v>
      </c>
      <c r="H220" t="inlineStr">
        <is>
          <t>custom</t>
        </is>
      </c>
      <c r="I220" t="n">
        <v>10</v>
      </c>
      <c r="J220" t="n">
        <v>1</v>
      </c>
      <c r="K220" t="n">
        <v>0</v>
      </c>
      <c r="L220" t="n">
        <v>0</v>
      </c>
      <c r="N220" t="inlineStr">
        <is>
          <t>d0d8dd</t>
        </is>
      </c>
      <c r="O220" t="inlineStr">
        <is>
          <t>C</t>
        </is>
      </c>
      <c r="Q220" t="n">
        <v>3</v>
      </c>
      <c r="R220" t="b">
        <v>1</v>
      </c>
      <c r="S220" t="inlineStr">
        <is>
          <t xml:space="preserve"> </t>
        </is>
      </c>
      <c r="T220" t="n">
        <v>0</v>
      </c>
    </row>
    <row r="221">
      <c r="A221" t="inlineStr">
        <is>
          <t>policy_checklist_header2</t>
        </is>
      </c>
      <c r="B221" t="n">
        <v>10</v>
      </c>
      <c r="C221" t="inlineStr">
        <is>
          <t>T</t>
        </is>
      </c>
      <c r="D221" t="n">
        <v>140</v>
      </c>
      <c r="E221" t="n">
        <v>122</v>
      </c>
      <c r="F221" t="n">
        <v>169</v>
      </c>
      <c r="G221" t="n">
        <v>127</v>
      </c>
      <c r="H221" t="inlineStr">
        <is>
          <t>custom</t>
        </is>
      </c>
      <c r="I221" t="n">
        <v>10</v>
      </c>
      <c r="J221" t="n">
        <v>1</v>
      </c>
      <c r="K221" t="n">
        <v>0</v>
      </c>
      <c r="L221" t="n">
        <v>0</v>
      </c>
      <c r="N221" t="inlineStr">
        <is>
          <t>d0d8dd</t>
        </is>
      </c>
      <c r="O221" t="inlineStr">
        <is>
          <t>C</t>
        </is>
      </c>
      <c r="Q221" t="n">
        <v>3</v>
      </c>
      <c r="R221" t="b">
        <v>1</v>
      </c>
      <c r="S221" t="inlineStr">
        <is>
          <t xml:space="preserve"> </t>
        </is>
      </c>
      <c r="T221" t="n">
        <v>0</v>
      </c>
    </row>
    <row r="222">
      <c r="A222" t="inlineStr">
        <is>
          <t>policy_checklist_header3</t>
        </is>
      </c>
      <c r="B222" t="n">
        <v>10</v>
      </c>
      <c r="C222" t="inlineStr">
        <is>
          <t>T</t>
        </is>
      </c>
      <c r="D222" t="n">
        <v>168</v>
      </c>
      <c r="E222" t="n">
        <v>122</v>
      </c>
      <c r="F222" t="n">
        <v>194</v>
      </c>
      <c r="G222" t="n">
        <v>127</v>
      </c>
      <c r="H222" t="inlineStr">
        <is>
          <t>custom</t>
        </is>
      </c>
      <c r="I222" t="n">
        <v>10</v>
      </c>
      <c r="J222" t="n">
        <v>1</v>
      </c>
      <c r="K222" t="n">
        <v>0</v>
      </c>
      <c r="L222" t="n">
        <v>0</v>
      </c>
      <c r="N222" t="inlineStr">
        <is>
          <t>d0d8dd</t>
        </is>
      </c>
      <c r="O222" t="inlineStr">
        <is>
          <t>C</t>
        </is>
      </c>
      <c r="Q222" t="n">
        <v>3</v>
      </c>
      <c r="R222" t="b">
        <v>1</v>
      </c>
      <c r="S222" t="inlineStr">
        <is>
          <t xml:space="preserve"> </t>
        </is>
      </c>
      <c r="T222" t="n">
        <v>0</v>
      </c>
    </row>
    <row r="223">
      <c r="A223" t="inlineStr">
        <is>
          <t>table_vline1</t>
        </is>
      </c>
      <c r="B223" t="n">
        <v>10</v>
      </c>
      <c r="C223" t="inlineStr">
        <is>
          <t>L</t>
        </is>
      </c>
      <c r="D223" t="n">
        <v>114</v>
      </c>
      <c r="E223" t="n">
        <v>120</v>
      </c>
      <c r="F223" t="n">
        <v>114</v>
      </c>
      <c r="G223" t="n">
        <v>213</v>
      </c>
      <c r="I223" t="n">
        <v>0.5</v>
      </c>
      <c r="J223" t="n">
        <v>0</v>
      </c>
      <c r="K223" t="n">
        <v>0</v>
      </c>
      <c r="L223" t="n">
        <v>0</v>
      </c>
      <c r="M223" t="inlineStr">
        <is>
          <t>FFFFFF</t>
        </is>
      </c>
      <c r="N223" t="inlineStr">
        <is>
          <t>d0d8dd</t>
        </is>
      </c>
      <c r="O223" t="inlineStr">
        <is>
          <t>L</t>
        </is>
      </c>
      <c r="Q223" t="n">
        <v>4</v>
      </c>
      <c r="R223" t="b">
        <v>0</v>
      </c>
      <c r="S223" t="inlineStr">
        <is>
          <t xml:space="preserve"> </t>
        </is>
      </c>
      <c r="T223" t="n">
        <v>0</v>
      </c>
    </row>
    <row r="224">
      <c r="A224" t="inlineStr">
        <is>
          <t>table_vline2</t>
        </is>
      </c>
      <c r="B224" t="n">
        <v>10</v>
      </c>
      <c r="C224" t="inlineStr">
        <is>
          <t>L</t>
        </is>
      </c>
      <c r="D224" t="n">
        <v>141</v>
      </c>
      <c r="E224" t="n">
        <v>120</v>
      </c>
      <c r="F224" t="n">
        <v>141</v>
      </c>
      <c r="G224" t="n">
        <v>213</v>
      </c>
      <c r="I224" t="n">
        <v>0.5</v>
      </c>
      <c r="J224" t="n">
        <v>0</v>
      </c>
      <c r="K224" t="n">
        <v>0</v>
      </c>
      <c r="L224" t="n">
        <v>0</v>
      </c>
      <c r="M224" t="inlineStr">
        <is>
          <t>FFFFFF</t>
        </is>
      </c>
      <c r="N224" t="inlineStr">
        <is>
          <t>d0d8dd</t>
        </is>
      </c>
      <c r="O224" t="inlineStr">
        <is>
          <t>L</t>
        </is>
      </c>
      <c r="Q224" t="n">
        <v>4</v>
      </c>
      <c r="R224" t="b">
        <v>0</v>
      </c>
      <c r="S224" t="inlineStr">
        <is>
          <t xml:space="preserve"> </t>
        </is>
      </c>
      <c r="T224" t="n">
        <v>0</v>
      </c>
    </row>
    <row r="225">
      <c r="A225" t="inlineStr">
        <is>
          <t>table_vline3</t>
        </is>
      </c>
      <c r="B225" t="n">
        <v>10</v>
      </c>
      <c r="C225" t="inlineStr">
        <is>
          <t>L</t>
        </is>
      </c>
      <c r="D225" t="n">
        <v>168</v>
      </c>
      <c r="E225" t="n">
        <v>120</v>
      </c>
      <c r="F225" t="n">
        <v>168</v>
      </c>
      <c r="G225" t="n">
        <v>213</v>
      </c>
      <c r="I225" t="n">
        <v>0.5</v>
      </c>
      <c r="J225" t="n">
        <v>0</v>
      </c>
      <c r="K225" t="n">
        <v>0</v>
      </c>
      <c r="L225" t="n">
        <v>0</v>
      </c>
      <c r="M225" t="inlineStr">
        <is>
          <t>FFFFFF</t>
        </is>
      </c>
      <c r="N225" t="inlineStr">
        <is>
          <t>d0d8dd</t>
        </is>
      </c>
      <c r="O225" t="inlineStr">
        <is>
          <t>L</t>
        </is>
      </c>
      <c r="Q225" t="n">
        <v>4</v>
      </c>
      <c r="R225" t="b">
        <v>0</v>
      </c>
      <c r="S225" t="inlineStr">
        <is>
          <t xml:space="preserve"> </t>
        </is>
      </c>
      <c r="T225" t="n">
        <v>0</v>
      </c>
    </row>
    <row r="226">
      <c r="A226" t="inlineStr">
        <is>
          <t>table_hline_mid</t>
        </is>
      </c>
      <c r="B226" t="n">
        <v>10</v>
      </c>
      <c r="C226" t="inlineStr">
        <is>
          <t>L</t>
        </is>
      </c>
      <c r="D226" t="n">
        <v>14</v>
      </c>
      <c r="E226" t="n">
        <v>147</v>
      </c>
      <c r="F226" t="n">
        <v>196</v>
      </c>
      <c r="G226" t="n">
        <v>147</v>
      </c>
      <c r="I226" t="n">
        <v>0.5</v>
      </c>
      <c r="J226" t="n">
        <v>0</v>
      </c>
      <c r="K226" t="n">
        <v>0</v>
      </c>
      <c r="L226" t="n">
        <v>0</v>
      </c>
      <c r="M226" t="inlineStr">
        <is>
          <t>FFFFFF</t>
        </is>
      </c>
      <c r="N226" t="inlineStr">
        <is>
          <t>d0d8dd</t>
        </is>
      </c>
      <c r="O226" t="inlineStr">
        <is>
          <t>L</t>
        </is>
      </c>
      <c r="Q226" t="n">
        <v>4</v>
      </c>
      <c r="R226" t="b">
        <v>0</v>
      </c>
      <c r="S226" t="inlineStr">
        <is>
          <t xml:space="preserve"> </t>
        </is>
      </c>
      <c r="T226" t="n">
        <v>0</v>
      </c>
    </row>
    <row r="227">
      <c r="A227" t="inlineStr">
        <is>
          <t>Policy key</t>
        </is>
      </c>
      <c r="B227" t="n">
        <v>10</v>
      </c>
      <c r="C227" t="inlineStr">
        <is>
          <t>T</t>
        </is>
      </c>
      <c r="D227" t="n">
        <v>14</v>
      </c>
      <c r="E227" t="n">
        <v>215</v>
      </c>
      <c r="F227" t="n">
        <v>196</v>
      </c>
      <c r="G227" t="n">
        <v>219</v>
      </c>
      <c r="H227" t="inlineStr">
        <is>
          <t>custom</t>
        </is>
      </c>
      <c r="I227" t="n">
        <v>10</v>
      </c>
      <c r="J227" t="n">
        <v>0</v>
      </c>
      <c r="K227" t="n">
        <v>0</v>
      </c>
      <c r="L227" t="n">
        <v>0</v>
      </c>
      <c r="N227" t="inlineStr">
        <is>
          <t>FFFFFF</t>
        </is>
      </c>
      <c r="O227" t="inlineStr">
        <is>
          <t>R</t>
        </is>
      </c>
      <c r="Q227" t="n">
        <v>2</v>
      </c>
      <c r="R227" t="b">
        <v>0</v>
      </c>
      <c r="S227" t="inlineStr">
        <is>
          <t xml:space="preserve"> </t>
        </is>
      </c>
      <c r="T227" t="n">
        <v>0</v>
      </c>
    </row>
    <row r="228">
      <c r="A228" t="inlineStr">
        <is>
          <t>policy_checklist5_text1</t>
        </is>
      </c>
      <c r="B228" t="n">
        <v>10</v>
      </c>
      <c r="C228" t="inlineStr">
        <is>
          <t>T</t>
        </is>
      </c>
      <c r="D228" t="n">
        <v>14</v>
      </c>
      <c r="E228" t="n">
        <v>149</v>
      </c>
      <c r="F228" t="n">
        <v>112</v>
      </c>
      <c r="G228" t="n">
        <v>154</v>
      </c>
      <c r="H228" t="inlineStr">
        <is>
          <t>custom</t>
        </is>
      </c>
      <c r="I228" t="n">
        <v>12</v>
      </c>
      <c r="J228" t="n">
        <v>0</v>
      </c>
      <c r="K228" t="n">
        <v>0</v>
      </c>
      <c r="L228" t="n">
        <v>0</v>
      </c>
      <c r="N228" t="inlineStr">
        <is>
          <t>d0d8dd</t>
        </is>
      </c>
      <c r="O228" t="inlineStr">
        <is>
          <t>L</t>
        </is>
      </c>
      <c r="Q228" t="n">
        <v>3</v>
      </c>
      <c r="R228" t="b">
        <v>1</v>
      </c>
      <c r="S228" t="inlineStr">
        <is>
          <t xml:space="preserve"> </t>
        </is>
      </c>
      <c r="T228" t="n">
        <v>0</v>
      </c>
    </row>
    <row r="229">
      <c r="A229" t="inlineStr">
        <is>
          <t>policy_checklist5_text1_response1</t>
        </is>
      </c>
      <c r="B229" t="n">
        <v>10</v>
      </c>
      <c r="C229" t="inlineStr">
        <is>
          <t>T</t>
        </is>
      </c>
      <c r="D229" t="n">
        <v>113</v>
      </c>
      <c r="E229" t="n">
        <v>150</v>
      </c>
      <c r="F229" t="n">
        <v>140</v>
      </c>
      <c r="G229" t="n">
        <v>153</v>
      </c>
      <c r="H229" t="inlineStr">
        <is>
          <t>dejavu</t>
        </is>
      </c>
      <c r="I229" t="n">
        <v>16</v>
      </c>
      <c r="J229" t="n">
        <v>1</v>
      </c>
      <c r="K229" t="n">
        <v>0</v>
      </c>
      <c r="L229" t="n">
        <v>0</v>
      </c>
      <c r="N229" t="inlineStr">
        <is>
          <t>d0d8dd</t>
        </is>
      </c>
      <c r="O229" t="inlineStr">
        <is>
          <t>C</t>
        </is>
      </c>
      <c r="Q229" t="n">
        <v>2</v>
      </c>
      <c r="R229" t="b">
        <v>0</v>
      </c>
      <c r="S229" t="inlineStr">
        <is>
          <t xml:space="preserve"> </t>
        </is>
      </c>
      <c r="T229" t="n">
        <v>0</v>
      </c>
    </row>
    <row r="230">
      <c r="A230" t="inlineStr">
        <is>
          <t>policy_checklist5_text1_response2</t>
        </is>
      </c>
      <c r="B230" t="n">
        <v>10</v>
      </c>
      <c r="C230" t="inlineStr">
        <is>
          <t>T</t>
        </is>
      </c>
      <c r="D230" t="n">
        <v>140</v>
      </c>
      <c r="E230" t="n">
        <v>150</v>
      </c>
      <c r="F230" t="n">
        <v>169</v>
      </c>
      <c r="G230" t="n">
        <v>153</v>
      </c>
      <c r="H230" t="inlineStr">
        <is>
          <t>dejavu</t>
        </is>
      </c>
      <c r="I230" t="n">
        <v>16</v>
      </c>
      <c r="J230" t="n">
        <v>1</v>
      </c>
      <c r="K230" t="n">
        <v>0</v>
      </c>
      <c r="L230" t="n">
        <v>0</v>
      </c>
      <c r="N230" t="inlineStr">
        <is>
          <t>d0d8dd</t>
        </is>
      </c>
      <c r="O230" t="inlineStr">
        <is>
          <t>C</t>
        </is>
      </c>
      <c r="Q230" t="n">
        <v>2</v>
      </c>
      <c r="R230" t="b">
        <v>0</v>
      </c>
      <c r="S230" t="inlineStr">
        <is>
          <t xml:space="preserve"> </t>
        </is>
      </c>
      <c r="T230" t="n">
        <v>0</v>
      </c>
    </row>
    <row r="231">
      <c r="A231" t="inlineStr">
        <is>
          <t>policy_checklist5_text1_response3</t>
        </is>
      </c>
      <c r="B231" t="n">
        <v>10</v>
      </c>
      <c r="C231" t="inlineStr">
        <is>
          <t>T</t>
        </is>
      </c>
      <c r="D231" t="n">
        <v>168</v>
      </c>
      <c r="E231" t="n">
        <v>150</v>
      </c>
      <c r="F231" t="n">
        <v>194</v>
      </c>
      <c r="G231" t="n">
        <v>153</v>
      </c>
      <c r="H231" t="inlineStr">
        <is>
          <t>dejavu</t>
        </is>
      </c>
      <c r="I231" t="n">
        <v>16</v>
      </c>
      <c r="J231" t="n">
        <v>1</v>
      </c>
      <c r="K231" t="n">
        <v>0</v>
      </c>
      <c r="L231" t="n">
        <v>0</v>
      </c>
      <c r="N231" t="inlineStr">
        <is>
          <t>d0d8dd</t>
        </is>
      </c>
      <c r="O231" t="inlineStr">
        <is>
          <t>C</t>
        </is>
      </c>
      <c r="Q231" t="n">
        <v>2</v>
      </c>
      <c r="R231" t="b">
        <v>0</v>
      </c>
      <c r="S231" t="inlineStr">
        <is>
          <t xml:space="preserve"> </t>
        </is>
      </c>
      <c r="T231" t="n">
        <v>0</v>
      </c>
    </row>
    <row r="232">
      <c r="A232" t="inlineStr">
        <is>
          <t>policy_checklist5_text2</t>
        </is>
      </c>
      <c r="B232" t="n">
        <v>10</v>
      </c>
      <c r="C232" t="inlineStr">
        <is>
          <t>T</t>
        </is>
      </c>
      <c r="D232" t="n">
        <v>14</v>
      </c>
      <c r="E232" t="n">
        <v>164</v>
      </c>
      <c r="F232" t="n">
        <v>112</v>
      </c>
      <c r="G232" t="n">
        <v>169</v>
      </c>
      <c r="H232" t="inlineStr">
        <is>
          <t>custom</t>
        </is>
      </c>
      <c r="I232" t="n">
        <v>12</v>
      </c>
      <c r="J232" t="n">
        <v>0</v>
      </c>
      <c r="K232" t="n">
        <v>0</v>
      </c>
      <c r="L232" t="n">
        <v>0</v>
      </c>
      <c r="N232" t="inlineStr">
        <is>
          <t>d0d8dd</t>
        </is>
      </c>
      <c r="O232" t="inlineStr">
        <is>
          <t>L</t>
        </is>
      </c>
      <c r="Q232" t="n">
        <v>3</v>
      </c>
      <c r="R232" t="b">
        <v>1</v>
      </c>
      <c r="S232" t="inlineStr">
        <is>
          <t xml:space="preserve"> </t>
        </is>
      </c>
      <c r="T232" t="n">
        <v>0</v>
      </c>
    </row>
    <row r="233">
      <c r="A233" t="inlineStr">
        <is>
          <t>policy_checklist5_text2_response1</t>
        </is>
      </c>
      <c r="B233" t="n">
        <v>10</v>
      </c>
      <c r="C233" t="inlineStr">
        <is>
          <t>T</t>
        </is>
      </c>
      <c r="D233" t="n">
        <v>113</v>
      </c>
      <c r="E233" t="n">
        <v>165</v>
      </c>
      <c r="F233" t="n">
        <v>140</v>
      </c>
      <c r="G233" t="n">
        <v>168</v>
      </c>
      <c r="H233" t="inlineStr">
        <is>
          <t>dejavu</t>
        </is>
      </c>
      <c r="I233" t="n">
        <v>16</v>
      </c>
      <c r="J233" t="n">
        <v>1</v>
      </c>
      <c r="K233" t="n">
        <v>0</v>
      </c>
      <c r="L233" t="n">
        <v>0</v>
      </c>
      <c r="N233" t="inlineStr">
        <is>
          <t>d0d8dd</t>
        </is>
      </c>
      <c r="O233" t="inlineStr">
        <is>
          <t>C</t>
        </is>
      </c>
      <c r="Q233" t="n">
        <v>2</v>
      </c>
      <c r="R233" t="b">
        <v>0</v>
      </c>
      <c r="S233" t="inlineStr">
        <is>
          <t xml:space="preserve"> </t>
        </is>
      </c>
      <c r="T233" t="n">
        <v>0</v>
      </c>
    </row>
    <row r="234">
      <c r="A234" t="inlineStr">
        <is>
          <t>policy_checklist5_text2_response2</t>
        </is>
      </c>
      <c r="B234" t="n">
        <v>10</v>
      </c>
      <c r="C234" t="inlineStr">
        <is>
          <t>T</t>
        </is>
      </c>
      <c r="D234" t="n">
        <v>140</v>
      </c>
      <c r="E234" t="n">
        <v>165</v>
      </c>
      <c r="F234" t="n">
        <v>169</v>
      </c>
      <c r="G234" t="n">
        <v>168</v>
      </c>
      <c r="H234" t="inlineStr">
        <is>
          <t>dejavu</t>
        </is>
      </c>
      <c r="I234" t="n">
        <v>16</v>
      </c>
      <c r="J234" t="n">
        <v>1</v>
      </c>
      <c r="K234" t="n">
        <v>0</v>
      </c>
      <c r="L234" t="n">
        <v>0</v>
      </c>
      <c r="N234" t="inlineStr">
        <is>
          <t>d0d8dd</t>
        </is>
      </c>
      <c r="O234" t="inlineStr">
        <is>
          <t>C</t>
        </is>
      </c>
      <c r="Q234" t="n">
        <v>2</v>
      </c>
      <c r="R234" t="b">
        <v>0</v>
      </c>
      <c r="S234" t="inlineStr">
        <is>
          <t xml:space="preserve"> </t>
        </is>
      </c>
      <c r="T234" t="n">
        <v>0</v>
      </c>
    </row>
    <row r="235">
      <c r="A235" t="inlineStr">
        <is>
          <t>policy_checklist5_text2_response3</t>
        </is>
      </c>
      <c r="B235" t="n">
        <v>10</v>
      </c>
      <c r="C235" t="inlineStr">
        <is>
          <t>T</t>
        </is>
      </c>
      <c r="D235" t="n">
        <v>168</v>
      </c>
      <c r="E235" t="n">
        <v>165</v>
      </c>
      <c r="F235" t="n">
        <v>194</v>
      </c>
      <c r="G235" t="n">
        <v>168</v>
      </c>
      <c r="H235" t="inlineStr">
        <is>
          <t>dejavu</t>
        </is>
      </c>
      <c r="I235" t="n">
        <v>16</v>
      </c>
      <c r="J235" t="n">
        <v>1</v>
      </c>
      <c r="K235" t="n">
        <v>0</v>
      </c>
      <c r="L235" t="n">
        <v>0</v>
      </c>
      <c r="N235" t="inlineStr">
        <is>
          <t>d0d8dd</t>
        </is>
      </c>
      <c r="O235" t="inlineStr">
        <is>
          <t>C</t>
        </is>
      </c>
      <c r="Q235" t="n">
        <v>2</v>
      </c>
      <c r="R235" t="b">
        <v>0</v>
      </c>
      <c r="S235" t="inlineStr">
        <is>
          <t xml:space="preserve"> </t>
        </is>
      </c>
      <c r="T235" t="n">
        <v>0</v>
      </c>
    </row>
    <row r="236">
      <c r="A236" t="inlineStr">
        <is>
          <t>policy_checklist6_text1</t>
        </is>
      </c>
      <c r="B236" t="n">
        <v>10</v>
      </c>
      <c r="C236" t="inlineStr">
        <is>
          <t>T</t>
        </is>
      </c>
      <c r="D236" t="n">
        <v>14</v>
      </c>
      <c r="E236" t="n">
        <v>179</v>
      </c>
      <c r="F236" t="n">
        <v>112</v>
      </c>
      <c r="G236" t="n">
        <v>184</v>
      </c>
      <c r="H236" t="inlineStr">
        <is>
          <t>custom</t>
        </is>
      </c>
      <c r="I236" t="n">
        <v>12</v>
      </c>
      <c r="J236" t="n">
        <v>0</v>
      </c>
      <c r="K236" t="n">
        <v>0</v>
      </c>
      <c r="L236" t="n">
        <v>0</v>
      </c>
      <c r="N236" t="inlineStr">
        <is>
          <t>d0d8dd</t>
        </is>
      </c>
      <c r="O236" t="inlineStr">
        <is>
          <t>L</t>
        </is>
      </c>
      <c r="Q236" t="n">
        <v>3</v>
      </c>
      <c r="R236" t="b">
        <v>1</v>
      </c>
      <c r="S236" t="inlineStr">
        <is>
          <t xml:space="preserve"> </t>
        </is>
      </c>
      <c r="T236" t="n">
        <v>0</v>
      </c>
    </row>
    <row r="237">
      <c r="A237" t="inlineStr">
        <is>
          <t>policy_checklist6_text1_response1</t>
        </is>
      </c>
      <c r="B237" t="n">
        <v>10</v>
      </c>
      <c r="C237" t="inlineStr">
        <is>
          <t>T</t>
        </is>
      </c>
      <c r="D237" t="n">
        <v>113</v>
      </c>
      <c r="E237" t="n">
        <v>180</v>
      </c>
      <c r="F237" t="n">
        <v>140</v>
      </c>
      <c r="G237" t="n">
        <v>183</v>
      </c>
      <c r="H237" t="inlineStr">
        <is>
          <t>dejavu</t>
        </is>
      </c>
      <c r="I237" t="n">
        <v>16</v>
      </c>
      <c r="J237" t="n">
        <v>1</v>
      </c>
      <c r="K237" t="n">
        <v>0</v>
      </c>
      <c r="L237" t="n">
        <v>0</v>
      </c>
      <c r="N237" t="inlineStr">
        <is>
          <t>d0d8dd</t>
        </is>
      </c>
      <c r="O237" t="inlineStr">
        <is>
          <t>C</t>
        </is>
      </c>
      <c r="Q237" t="n">
        <v>2</v>
      </c>
      <c r="R237" t="b">
        <v>0</v>
      </c>
      <c r="S237" t="inlineStr">
        <is>
          <t xml:space="preserve"> </t>
        </is>
      </c>
      <c r="T237" t="n">
        <v>0</v>
      </c>
    </row>
    <row r="238">
      <c r="A238" t="inlineStr">
        <is>
          <t>policy_checklist6_text1_response2</t>
        </is>
      </c>
      <c r="B238" t="n">
        <v>10</v>
      </c>
      <c r="C238" t="inlineStr">
        <is>
          <t>T</t>
        </is>
      </c>
      <c r="D238" t="n">
        <v>140</v>
      </c>
      <c r="E238" t="n">
        <v>180</v>
      </c>
      <c r="F238" t="n">
        <v>169</v>
      </c>
      <c r="G238" t="n">
        <v>183</v>
      </c>
      <c r="H238" t="inlineStr">
        <is>
          <t>dejavu</t>
        </is>
      </c>
      <c r="I238" t="n">
        <v>16</v>
      </c>
      <c r="J238" t="n">
        <v>1</v>
      </c>
      <c r="K238" t="n">
        <v>0</v>
      </c>
      <c r="L238" t="n">
        <v>0</v>
      </c>
      <c r="N238" t="inlineStr">
        <is>
          <t>d0d8dd</t>
        </is>
      </c>
      <c r="O238" t="inlineStr">
        <is>
          <t>C</t>
        </is>
      </c>
      <c r="Q238" t="n">
        <v>2</v>
      </c>
      <c r="R238" t="b">
        <v>0</v>
      </c>
      <c r="S238" t="inlineStr">
        <is>
          <t xml:space="preserve"> </t>
        </is>
      </c>
      <c r="T238" t="n">
        <v>0</v>
      </c>
    </row>
    <row r="239">
      <c r="A239" t="inlineStr">
        <is>
          <t>policy_checklist6_text1_response3</t>
        </is>
      </c>
      <c r="B239" t="n">
        <v>10</v>
      </c>
      <c r="C239" t="inlineStr">
        <is>
          <t>T</t>
        </is>
      </c>
      <c r="D239" t="n">
        <v>168</v>
      </c>
      <c r="E239" t="n">
        <v>180</v>
      </c>
      <c r="F239" t="n">
        <v>194</v>
      </c>
      <c r="G239" t="n">
        <v>183</v>
      </c>
      <c r="H239" t="inlineStr">
        <is>
          <t>dejavu</t>
        </is>
      </c>
      <c r="I239" t="n">
        <v>16</v>
      </c>
      <c r="J239" t="n">
        <v>1</v>
      </c>
      <c r="K239" t="n">
        <v>0</v>
      </c>
      <c r="L239" t="n">
        <v>0</v>
      </c>
      <c r="N239" t="inlineStr">
        <is>
          <t>d0d8dd</t>
        </is>
      </c>
      <c r="O239" t="inlineStr">
        <is>
          <t>C</t>
        </is>
      </c>
      <c r="Q239" t="n">
        <v>2</v>
      </c>
      <c r="R239" t="b">
        <v>0</v>
      </c>
      <c r="S239" t="inlineStr">
        <is>
          <t xml:space="preserve"> </t>
        </is>
      </c>
      <c r="T239" t="n">
        <v>0</v>
      </c>
    </row>
    <row r="240">
      <c r="A240" t="inlineStr">
        <is>
          <t>policy_checklist6_text2</t>
        </is>
      </c>
      <c r="B240" t="n">
        <v>10</v>
      </c>
      <c r="C240" t="inlineStr">
        <is>
          <t>T</t>
        </is>
      </c>
      <c r="D240" t="n">
        <v>14</v>
      </c>
      <c r="E240" t="n">
        <v>194</v>
      </c>
      <c r="F240" t="n">
        <v>112</v>
      </c>
      <c r="G240" t="n">
        <v>199</v>
      </c>
      <c r="H240" t="inlineStr">
        <is>
          <t>custom</t>
        </is>
      </c>
      <c r="I240" t="n">
        <v>12</v>
      </c>
      <c r="J240" t="n">
        <v>0</v>
      </c>
      <c r="K240" t="n">
        <v>0</v>
      </c>
      <c r="L240" t="n">
        <v>0</v>
      </c>
      <c r="N240" t="inlineStr">
        <is>
          <t>d0d8dd</t>
        </is>
      </c>
      <c r="O240" t="inlineStr">
        <is>
          <t>L</t>
        </is>
      </c>
      <c r="Q240" t="n">
        <v>3</v>
      </c>
      <c r="R240" t="b">
        <v>1</v>
      </c>
      <c r="S240" t="inlineStr">
        <is>
          <t xml:space="preserve"> </t>
        </is>
      </c>
      <c r="T240" t="n">
        <v>0</v>
      </c>
    </row>
    <row r="241">
      <c r="A241" t="inlineStr">
        <is>
          <t>policy_checklist6_text2_response1</t>
        </is>
      </c>
      <c r="B241" t="n">
        <v>10</v>
      </c>
      <c r="C241" t="inlineStr">
        <is>
          <t>T</t>
        </is>
      </c>
      <c r="D241" t="n">
        <v>113</v>
      </c>
      <c r="E241" t="n">
        <v>195</v>
      </c>
      <c r="F241" t="n">
        <v>140</v>
      </c>
      <c r="G241" t="n">
        <v>198</v>
      </c>
      <c r="H241" t="inlineStr">
        <is>
          <t>dejavu</t>
        </is>
      </c>
      <c r="I241" t="n">
        <v>16</v>
      </c>
      <c r="J241" t="n">
        <v>1</v>
      </c>
      <c r="K241" t="n">
        <v>0</v>
      </c>
      <c r="L241" t="n">
        <v>0</v>
      </c>
      <c r="N241" t="inlineStr">
        <is>
          <t>d0d8dd</t>
        </is>
      </c>
      <c r="O241" t="inlineStr">
        <is>
          <t>C</t>
        </is>
      </c>
      <c r="Q241" t="n">
        <v>2</v>
      </c>
      <c r="R241" t="b">
        <v>0</v>
      </c>
      <c r="S241" t="inlineStr">
        <is>
          <t xml:space="preserve"> </t>
        </is>
      </c>
      <c r="T241" t="n">
        <v>0</v>
      </c>
    </row>
    <row r="242">
      <c r="A242" t="inlineStr">
        <is>
          <t>policy_checklist6_text2_response2</t>
        </is>
      </c>
      <c r="B242" t="n">
        <v>10</v>
      </c>
      <c r="C242" t="inlineStr">
        <is>
          <t>T</t>
        </is>
      </c>
      <c r="D242" t="n">
        <v>140</v>
      </c>
      <c r="E242" t="n">
        <v>195</v>
      </c>
      <c r="F242" t="n">
        <v>169</v>
      </c>
      <c r="G242" t="n">
        <v>198</v>
      </c>
      <c r="H242" t="inlineStr">
        <is>
          <t>dejavu</t>
        </is>
      </c>
      <c r="I242" t="n">
        <v>16</v>
      </c>
      <c r="J242" t="n">
        <v>1</v>
      </c>
      <c r="K242" t="n">
        <v>0</v>
      </c>
      <c r="L242" t="n">
        <v>0</v>
      </c>
      <c r="N242" t="inlineStr">
        <is>
          <t>d0d8dd</t>
        </is>
      </c>
      <c r="O242" t="inlineStr">
        <is>
          <t>C</t>
        </is>
      </c>
      <c r="Q242" t="n">
        <v>2</v>
      </c>
      <c r="R242" t="b">
        <v>0</v>
      </c>
      <c r="S242" t="inlineStr">
        <is>
          <t xml:space="preserve"> </t>
        </is>
      </c>
      <c r="T242" t="n">
        <v>0</v>
      </c>
    </row>
    <row r="243">
      <c r="A243" t="inlineStr">
        <is>
          <t>policy_checklist6_text2_response3</t>
        </is>
      </c>
      <c r="B243" t="n">
        <v>10</v>
      </c>
      <c r="C243" t="inlineStr">
        <is>
          <t>T</t>
        </is>
      </c>
      <c r="D243" t="n">
        <v>168</v>
      </c>
      <c r="E243" t="n">
        <v>195</v>
      </c>
      <c r="F243" t="n">
        <v>194</v>
      </c>
      <c r="G243" t="n">
        <v>198</v>
      </c>
      <c r="H243" t="inlineStr">
        <is>
          <t>dejavu</t>
        </is>
      </c>
      <c r="I243" t="n">
        <v>16</v>
      </c>
      <c r="J243" t="n">
        <v>1</v>
      </c>
      <c r="K243" t="n">
        <v>0</v>
      </c>
      <c r="L243" t="n">
        <v>0</v>
      </c>
      <c r="N243" t="inlineStr">
        <is>
          <t>d0d8dd</t>
        </is>
      </c>
      <c r="O243" t="inlineStr">
        <is>
          <t>C</t>
        </is>
      </c>
      <c r="Q243" t="n">
        <v>2</v>
      </c>
      <c r="R243" t="b">
        <v>0</v>
      </c>
      <c r="S243" t="inlineStr">
        <is>
          <t xml:space="preserve"> </t>
        </is>
      </c>
      <c r="T243" t="n">
        <v>0</v>
      </c>
    </row>
    <row r="244">
      <c r="A244" t="inlineStr">
        <is>
          <t>Climate disaster risk reduction</t>
        </is>
      </c>
      <c r="B244" t="n">
        <v>11</v>
      </c>
      <c r="C244" t="inlineStr">
        <is>
          <t>T</t>
        </is>
      </c>
      <c r="D244" t="n">
        <v>14</v>
      </c>
      <c r="E244" t="n">
        <v>20</v>
      </c>
      <c r="F244" t="n">
        <v>196</v>
      </c>
      <c r="G244" t="n">
        <v>25</v>
      </c>
      <c r="H244" t="inlineStr">
        <is>
          <t>custom</t>
        </is>
      </c>
      <c r="I244" t="n">
        <v>14</v>
      </c>
      <c r="J244" t="n">
        <v>1</v>
      </c>
      <c r="K244" t="n">
        <v>0</v>
      </c>
      <c r="L244" t="n">
        <v>0</v>
      </c>
      <c r="N244" t="inlineStr">
        <is>
          <t>FFFFFF</t>
        </is>
      </c>
      <c r="O244" t="inlineStr">
        <is>
          <t>L</t>
        </is>
      </c>
      <c r="Q244" t="n">
        <v>2</v>
      </c>
      <c r="R244" t="b">
        <v>1</v>
      </c>
      <c r="S244" t="inlineStr">
        <is>
          <t xml:space="preserve"> </t>
        </is>
      </c>
      <c r="T244" t="n">
        <v>0</v>
      </c>
    </row>
    <row r="245">
      <c r="A245" t="inlineStr">
        <is>
          <t>Climate disaster risk reduction description</t>
        </is>
      </c>
      <c r="B245" t="n">
        <v>11</v>
      </c>
      <c r="C245" t="inlineStr">
        <is>
          <t>T</t>
        </is>
      </c>
      <c r="D245" t="n">
        <v>14</v>
      </c>
      <c r="E245" t="n">
        <v>33</v>
      </c>
      <c r="F245" t="n">
        <v>196</v>
      </c>
      <c r="G245" t="n">
        <v>38</v>
      </c>
      <c r="H245" t="inlineStr">
        <is>
          <t>custom</t>
        </is>
      </c>
      <c r="I245" t="n">
        <v>12</v>
      </c>
      <c r="J245" t="n">
        <v>0</v>
      </c>
      <c r="K245" t="n">
        <v>0</v>
      </c>
      <c r="L245" t="n">
        <v>0</v>
      </c>
      <c r="N245" t="inlineStr">
        <is>
          <t>FFFFFF</t>
        </is>
      </c>
      <c r="O245" t="inlineStr">
        <is>
          <t>L</t>
        </is>
      </c>
      <c r="Q245" t="n">
        <v>2</v>
      </c>
      <c r="R245" t="b">
        <v>1</v>
      </c>
      <c r="T245" t="n">
        <v>0</v>
      </c>
    </row>
    <row r="246">
      <c r="A246" t="inlineStr">
        <is>
          <t>policy_box_checklist7</t>
        </is>
      </c>
      <c r="B246" t="n">
        <v>11</v>
      </c>
      <c r="C246" t="inlineStr">
        <is>
          <t>B</t>
        </is>
      </c>
      <c r="D246" t="n">
        <v>0</v>
      </c>
      <c r="E246" t="n">
        <v>75</v>
      </c>
      <c r="F246" t="n">
        <v>210</v>
      </c>
      <c r="G246" t="n">
        <v>123</v>
      </c>
      <c r="I246" t="n">
        <v>0</v>
      </c>
      <c r="J246" t="n">
        <v>1</v>
      </c>
      <c r="K246" t="n">
        <v>0</v>
      </c>
      <c r="L246" t="n">
        <v>0</v>
      </c>
      <c r="M246" t="inlineStr">
        <is>
          <t>d0d8dd</t>
        </is>
      </c>
      <c r="N246" t="inlineStr">
        <is>
          <t>d0d8dd</t>
        </is>
      </c>
      <c r="O246" t="inlineStr">
        <is>
          <t>L</t>
        </is>
      </c>
      <c r="Q246" t="n">
        <v>1</v>
      </c>
      <c r="R246" t="b">
        <v>0</v>
      </c>
      <c r="S246" t="inlineStr">
        <is>
          <t xml:space="preserve"> </t>
        </is>
      </c>
      <c r="T246" t="n">
        <v>0</v>
      </c>
    </row>
    <row r="247">
      <c r="A247" t="inlineStr">
        <is>
          <t>policy_checklist7_title</t>
        </is>
      </c>
      <c r="B247" t="n">
        <v>11</v>
      </c>
      <c r="C247" t="inlineStr">
        <is>
          <t>T</t>
        </is>
      </c>
      <c r="D247" t="n">
        <v>14</v>
      </c>
      <c r="E247" t="n">
        <v>80</v>
      </c>
      <c r="F247" t="n">
        <v>196</v>
      </c>
      <c r="G247" t="n">
        <v>83</v>
      </c>
      <c r="H247" t="inlineStr">
        <is>
          <t>custom</t>
        </is>
      </c>
      <c r="I247" t="n">
        <v>12</v>
      </c>
      <c r="J247" t="n">
        <v>1</v>
      </c>
      <c r="K247" t="n">
        <v>0</v>
      </c>
      <c r="L247" t="n">
        <v>0</v>
      </c>
      <c r="N247" t="inlineStr">
        <is>
          <t>d0d8dd</t>
        </is>
      </c>
      <c r="O247" t="inlineStr">
        <is>
          <t>L</t>
        </is>
      </c>
      <c r="Q247" t="n">
        <v>3</v>
      </c>
      <c r="R247" t="b">
        <v>0</v>
      </c>
      <c r="S247" t="inlineStr">
        <is>
          <t xml:space="preserve"> </t>
        </is>
      </c>
      <c r="T247" t="n">
        <v>0</v>
      </c>
    </row>
    <row r="248">
      <c r="A248" t="inlineStr">
        <is>
          <t>policy_checklist_header1</t>
        </is>
      </c>
      <c r="B248" t="n">
        <v>11</v>
      </c>
      <c r="C248" t="inlineStr">
        <is>
          <t>T</t>
        </is>
      </c>
      <c r="D248" t="n">
        <v>113</v>
      </c>
      <c r="E248" t="n">
        <v>77</v>
      </c>
      <c r="F248" t="n">
        <v>140</v>
      </c>
      <c r="G248" t="n">
        <v>82</v>
      </c>
      <c r="H248" t="inlineStr">
        <is>
          <t>custom</t>
        </is>
      </c>
      <c r="I248" t="n">
        <v>10</v>
      </c>
      <c r="J248" t="n">
        <v>1</v>
      </c>
      <c r="K248" t="n">
        <v>0</v>
      </c>
      <c r="L248" t="n">
        <v>0</v>
      </c>
      <c r="N248" t="inlineStr">
        <is>
          <t>d0d8dd</t>
        </is>
      </c>
      <c r="O248" t="inlineStr">
        <is>
          <t>C</t>
        </is>
      </c>
      <c r="Q248" t="n">
        <v>3</v>
      </c>
      <c r="R248" t="b">
        <v>1</v>
      </c>
      <c r="S248" t="inlineStr">
        <is>
          <t xml:space="preserve"> </t>
        </is>
      </c>
      <c r="T248" t="n">
        <v>0</v>
      </c>
    </row>
    <row r="249">
      <c r="A249" t="inlineStr">
        <is>
          <t>policy_checklist_header2</t>
        </is>
      </c>
      <c r="B249" t="n">
        <v>11</v>
      </c>
      <c r="C249" t="inlineStr">
        <is>
          <t>T</t>
        </is>
      </c>
      <c r="D249" t="n">
        <v>140</v>
      </c>
      <c r="E249" t="n">
        <v>77</v>
      </c>
      <c r="F249" t="n">
        <v>169</v>
      </c>
      <c r="G249" t="n">
        <v>82</v>
      </c>
      <c r="H249" t="inlineStr">
        <is>
          <t>custom</t>
        </is>
      </c>
      <c r="I249" t="n">
        <v>10</v>
      </c>
      <c r="J249" t="n">
        <v>1</v>
      </c>
      <c r="K249" t="n">
        <v>0</v>
      </c>
      <c r="L249" t="n">
        <v>0</v>
      </c>
      <c r="N249" t="inlineStr">
        <is>
          <t>d0d8dd</t>
        </is>
      </c>
      <c r="O249" t="inlineStr">
        <is>
          <t>C</t>
        </is>
      </c>
      <c r="Q249" t="n">
        <v>3</v>
      </c>
      <c r="R249" t="b">
        <v>1</v>
      </c>
      <c r="S249" t="inlineStr">
        <is>
          <t xml:space="preserve"> </t>
        </is>
      </c>
      <c r="T249" t="n">
        <v>0</v>
      </c>
    </row>
    <row r="250">
      <c r="A250" t="inlineStr">
        <is>
          <t>policy_checklist_header3</t>
        </is>
      </c>
      <c r="B250" t="n">
        <v>11</v>
      </c>
      <c r="C250" t="inlineStr">
        <is>
          <t>T</t>
        </is>
      </c>
      <c r="D250" t="n">
        <v>168</v>
      </c>
      <c r="E250" t="n">
        <v>77</v>
      </c>
      <c r="F250" t="n">
        <v>194</v>
      </c>
      <c r="G250" t="n">
        <v>82</v>
      </c>
      <c r="H250" t="inlineStr">
        <is>
          <t>custom</t>
        </is>
      </c>
      <c r="I250" t="n">
        <v>10</v>
      </c>
      <c r="J250" t="n">
        <v>1</v>
      </c>
      <c r="K250" t="n">
        <v>0</v>
      </c>
      <c r="L250" t="n">
        <v>0</v>
      </c>
      <c r="N250" t="inlineStr">
        <is>
          <t>d0d8dd</t>
        </is>
      </c>
      <c r="O250" t="inlineStr">
        <is>
          <t>C</t>
        </is>
      </c>
      <c r="Q250" t="n">
        <v>3</v>
      </c>
      <c r="R250" t="b">
        <v>1</v>
      </c>
      <c r="S250" t="inlineStr">
        <is>
          <t xml:space="preserve"> </t>
        </is>
      </c>
      <c r="T250" t="n">
        <v>0</v>
      </c>
    </row>
    <row r="251">
      <c r="A251" t="inlineStr">
        <is>
          <t>table_vline1</t>
        </is>
      </c>
      <c r="B251" t="n">
        <v>11</v>
      </c>
      <c r="C251" t="inlineStr">
        <is>
          <t>L</t>
        </is>
      </c>
      <c r="D251" t="n">
        <v>114</v>
      </c>
      <c r="E251" t="n">
        <v>75</v>
      </c>
      <c r="F251" t="n">
        <v>114</v>
      </c>
      <c r="G251" t="n">
        <v>123</v>
      </c>
      <c r="I251" t="n">
        <v>0.5</v>
      </c>
      <c r="J251" t="n">
        <v>0</v>
      </c>
      <c r="K251" t="n">
        <v>0</v>
      </c>
      <c r="L251" t="n">
        <v>0</v>
      </c>
      <c r="M251" t="inlineStr">
        <is>
          <t>FFFFFF</t>
        </is>
      </c>
      <c r="N251" t="inlineStr">
        <is>
          <t>d0d8dd</t>
        </is>
      </c>
      <c r="O251" t="inlineStr">
        <is>
          <t>L</t>
        </is>
      </c>
      <c r="Q251" t="n">
        <v>4</v>
      </c>
      <c r="R251" t="b">
        <v>0</v>
      </c>
      <c r="S251" t="inlineStr">
        <is>
          <t xml:space="preserve"> </t>
        </is>
      </c>
      <c r="T251" t="n">
        <v>0</v>
      </c>
    </row>
    <row r="252">
      <c r="A252" t="inlineStr">
        <is>
          <t>table_vline2</t>
        </is>
      </c>
      <c r="B252" t="n">
        <v>11</v>
      </c>
      <c r="C252" t="inlineStr">
        <is>
          <t>L</t>
        </is>
      </c>
      <c r="D252" t="n">
        <v>141</v>
      </c>
      <c r="E252" t="n">
        <v>75</v>
      </c>
      <c r="F252" t="n">
        <v>141</v>
      </c>
      <c r="G252" t="n">
        <v>123</v>
      </c>
      <c r="I252" t="n">
        <v>0.5</v>
      </c>
      <c r="J252" t="n">
        <v>0</v>
      </c>
      <c r="K252" t="n">
        <v>0</v>
      </c>
      <c r="L252" t="n">
        <v>0</v>
      </c>
      <c r="M252" t="inlineStr">
        <is>
          <t>FFFFFF</t>
        </is>
      </c>
      <c r="N252" t="inlineStr">
        <is>
          <t>d0d8dd</t>
        </is>
      </c>
      <c r="O252" t="inlineStr">
        <is>
          <t>L</t>
        </is>
      </c>
      <c r="Q252" t="n">
        <v>4</v>
      </c>
      <c r="R252" t="b">
        <v>0</v>
      </c>
      <c r="S252" t="inlineStr">
        <is>
          <t xml:space="preserve"> </t>
        </is>
      </c>
      <c r="T252" t="n">
        <v>0</v>
      </c>
    </row>
    <row r="253">
      <c r="A253" t="inlineStr">
        <is>
          <t>table_vline3</t>
        </is>
      </c>
      <c r="B253" t="n">
        <v>11</v>
      </c>
      <c r="C253" t="inlineStr">
        <is>
          <t>L</t>
        </is>
      </c>
      <c r="D253" t="n">
        <v>168</v>
      </c>
      <c r="E253" t="n">
        <v>75</v>
      </c>
      <c r="F253" t="n">
        <v>168</v>
      </c>
      <c r="G253" t="n">
        <v>123</v>
      </c>
      <c r="I253" t="n">
        <v>0.5</v>
      </c>
      <c r="J253" t="n">
        <v>0</v>
      </c>
      <c r="K253" t="n">
        <v>0</v>
      </c>
      <c r="L253" t="n">
        <v>0</v>
      </c>
      <c r="M253" t="inlineStr">
        <is>
          <t>FFFFFF</t>
        </is>
      </c>
      <c r="N253" t="inlineStr">
        <is>
          <t>d0d8dd</t>
        </is>
      </c>
      <c r="O253" t="inlineStr">
        <is>
          <t>L</t>
        </is>
      </c>
      <c r="Q253" t="n">
        <v>4</v>
      </c>
      <c r="R253" t="b">
        <v>0</v>
      </c>
      <c r="S253" t="inlineStr">
        <is>
          <t xml:space="preserve"> </t>
        </is>
      </c>
      <c r="T253" t="n">
        <v>0</v>
      </c>
    </row>
    <row r="254">
      <c r="A254" t="inlineStr">
        <is>
          <t>table_hline_mid</t>
        </is>
      </c>
      <c r="B254" t="n">
        <v>11</v>
      </c>
      <c r="C254" t="inlineStr">
        <is>
          <t>L</t>
        </is>
      </c>
      <c r="D254" t="n">
        <v>14</v>
      </c>
      <c r="E254" t="n">
        <v>102</v>
      </c>
      <c r="F254" t="n">
        <v>196</v>
      </c>
      <c r="G254" t="n">
        <v>102</v>
      </c>
      <c r="I254" t="n">
        <v>0.5</v>
      </c>
      <c r="J254" t="n">
        <v>0</v>
      </c>
      <c r="K254" t="n">
        <v>0</v>
      </c>
      <c r="L254" t="n">
        <v>0</v>
      </c>
      <c r="M254" t="inlineStr">
        <is>
          <t>FFFFFF</t>
        </is>
      </c>
      <c r="N254" t="inlineStr">
        <is>
          <t>d0d8dd</t>
        </is>
      </c>
      <c r="O254" t="inlineStr">
        <is>
          <t>L</t>
        </is>
      </c>
      <c r="Q254" t="n">
        <v>4</v>
      </c>
      <c r="R254" t="b">
        <v>0</v>
      </c>
      <c r="S254" t="inlineStr">
        <is>
          <t xml:space="preserve"> </t>
        </is>
      </c>
      <c r="T254" t="n">
        <v>0</v>
      </c>
    </row>
    <row r="255">
      <c r="A255" t="inlineStr">
        <is>
          <t>Policy key</t>
        </is>
      </c>
      <c r="B255" t="n">
        <v>11</v>
      </c>
      <c r="C255" t="inlineStr">
        <is>
          <t>T</t>
        </is>
      </c>
      <c r="D255" t="n">
        <v>14</v>
      </c>
      <c r="E255" t="n">
        <v>125</v>
      </c>
      <c r="F255" t="n">
        <v>196</v>
      </c>
      <c r="G255" t="n">
        <v>129</v>
      </c>
      <c r="H255" t="inlineStr">
        <is>
          <t>custom</t>
        </is>
      </c>
      <c r="I255" t="n">
        <v>10</v>
      </c>
      <c r="J255" t="n">
        <v>0</v>
      </c>
      <c r="K255" t="n">
        <v>0</v>
      </c>
      <c r="L255" t="n">
        <v>0</v>
      </c>
      <c r="N255" t="inlineStr">
        <is>
          <t>FFFFFF</t>
        </is>
      </c>
      <c r="O255" t="inlineStr">
        <is>
          <t>R</t>
        </is>
      </c>
      <c r="Q255" t="n">
        <v>2</v>
      </c>
      <c r="R255" t="b">
        <v>0</v>
      </c>
      <c r="S255" t="inlineStr">
        <is>
          <t xml:space="preserve"> </t>
        </is>
      </c>
      <c r="T255" t="n">
        <v>0</v>
      </c>
    </row>
    <row r="256">
      <c r="A256" t="inlineStr">
        <is>
          <t>policy_checklist7_text1</t>
        </is>
      </c>
      <c r="B256" t="n">
        <v>11</v>
      </c>
      <c r="C256" t="inlineStr">
        <is>
          <t>T</t>
        </is>
      </c>
      <c r="D256" t="n">
        <v>14</v>
      </c>
      <c r="E256" t="n">
        <v>104</v>
      </c>
      <c r="F256" t="n">
        <v>112</v>
      </c>
      <c r="G256" t="n">
        <v>109</v>
      </c>
      <c r="H256" t="inlineStr">
        <is>
          <t>custom</t>
        </is>
      </c>
      <c r="I256" t="n">
        <v>12</v>
      </c>
      <c r="J256" t="n">
        <v>0</v>
      </c>
      <c r="K256" t="n">
        <v>0</v>
      </c>
      <c r="L256" t="n">
        <v>0</v>
      </c>
      <c r="N256" t="inlineStr">
        <is>
          <t>d0d8dd</t>
        </is>
      </c>
      <c r="O256" t="inlineStr">
        <is>
          <t>L</t>
        </is>
      </c>
      <c r="Q256" t="n">
        <v>3</v>
      </c>
      <c r="R256" t="b">
        <v>1</v>
      </c>
      <c r="S256" t="inlineStr">
        <is>
          <t xml:space="preserve"> </t>
        </is>
      </c>
      <c r="T256" t="n">
        <v>0</v>
      </c>
    </row>
    <row r="257">
      <c r="A257" t="inlineStr">
        <is>
          <t>policy_checklist7_text1_response1</t>
        </is>
      </c>
      <c r="B257" t="n">
        <v>11</v>
      </c>
      <c r="C257" t="inlineStr">
        <is>
          <t>T</t>
        </is>
      </c>
      <c r="D257" t="n">
        <v>113</v>
      </c>
      <c r="E257" t="n">
        <v>105</v>
      </c>
      <c r="F257" t="n">
        <v>140</v>
      </c>
      <c r="G257" t="n">
        <v>108</v>
      </c>
      <c r="H257" t="inlineStr">
        <is>
          <t>dejavu</t>
        </is>
      </c>
      <c r="I257" t="n">
        <v>16</v>
      </c>
      <c r="J257" t="n">
        <v>1</v>
      </c>
      <c r="K257" t="n">
        <v>0</v>
      </c>
      <c r="L257" t="n">
        <v>0</v>
      </c>
      <c r="N257" t="inlineStr">
        <is>
          <t>d0d8dd</t>
        </is>
      </c>
      <c r="O257" t="inlineStr">
        <is>
          <t>C</t>
        </is>
      </c>
      <c r="Q257" t="n">
        <v>2</v>
      </c>
      <c r="R257" t="b">
        <v>0</v>
      </c>
      <c r="S257" t="inlineStr">
        <is>
          <t xml:space="preserve"> </t>
        </is>
      </c>
      <c r="T257" t="n">
        <v>0</v>
      </c>
    </row>
    <row r="258">
      <c r="A258" t="inlineStr">
        <is>
          <t>policy_checklist7_text1_response2</t>
        </is>
      </c>
      <c r="B258" t="n">
        <v>11</v>
      </c>
      <c r="C258" t="inlineStr">
        <is>
          <t>T</t>
        </is>
      </c>
      <c r="D258" t="n">
        <v>140</v>
      </c>
      <c r="E258" t="n">
        <v>105</v>
      </c>
      <c r="F258" t="n">
        <v>169</v>
      </c>
      <c r="G258" t="n">
        <v>108</v>
      </c>
      <c r="H258" t="inlineStr">
        <is>
          <t>dejavu</t>
        </is>
      </c>
      <c r="I258" t="n">
        <v>16</v>
      </c>
      <c r="J258" t="n">
        <v>1</v>
      </c>
      <c r="K258" t="n">
        <v>0</v>
      </c>
      <c r="L258" t="n">
        <v>0</v>
      </c>
      <c r="N258" t="inlineStr">
        <is>
          <t>d0d8dd</t>
        </is>
      </c>
      <c r="O258" t="inlineStr">
        <is>
          <t>C</t>
        </is>
      </c>
      <c r="Q258" t="n">
        <v>2</v>
      </c>
      <c r="R258" t="b">
        <v>0</v>
      </c>
      <c r="S258" t="inlineStr">
        <is>
          <t xml:space="preserve"> </t>
        </is>
      </c>
      <c r="T258" t="n">
        <v>0</v>
      </c>
    </row>
    <row r="259">
      <c r="A259" t="inlineStr">
        <is>
          <t>policy_checklist7_text1_response3</t>
        </is>
      </c>
      <c r="B259" t="n">
        <v>11</v>
      </c>
      <c r="C259" t="inlineStr">
        <is>
          <t>T</t>
        </is>
      </c>
      <c r="D259" t="n">
        <v>168</v>
      </c>
      <c r="E259" t="n">
        <v>105</v>
      </c>
      <c r="F259" t="n">
        <v>194</v>
      </c>
      <c r="G259" t="n">
        <v>108</v>
      </c>
      <c r="H259" t="inlineStr">
        <is>
          <t>dejavu</t>
        </is>
      </c>
      <c r="I259" t="n">
        <v>16</v>
      </c>
      <c r="J259" t="n">
        <v>1</v>
      </c>
      <c r="K259" t="n">
        <v>0</v>
      </c>
      <c r="L259" t="n">
        <v>0</v>
      </c>
      <c r="N259" t="inlineStr">
        <is>
          <t>d0d8dd</t>
        </is>
      </c>
      <c r="O259" t="inlineStr">
        <is>
          <t>C</t>
        </is>
      </c>
      <c r="Q259" t="n">
        <v>2</v>
      </c>
      <c r="R259" t="b">
        <v>0</v>
      </c>
      <c r="S259" t="inlineStr">
        <is>
          <t xml:space="preserve"> </t>
        </is>
      </c>
      <c r="T259" t="n">
        <v>0</v>
      </c>
    </row>
    <row r="260">
      <c r="A260" t="inlineStr">
        <is>
          <t>hero_image_4</t>
        </is>
      </c>
      <c r="B260" t="n">
        <v>11</v>
      </c>
      <c r="C260" t="inlineStr">
        <is>
          <t>I</t>
        </is>
      </c>
      <c r="D260" t="n">
        <v>30</v>
      </c>
      <c r="E260" t="n">
        <v>130</v>
      </c>
      <c r="F260" t="n">
        <v>180</v>
      </c>
      <c r="G260" t="n">
        <v>280</v>
      </c>
      <c r="I260" t="n">
        <v>0</v>
      </c>
      <c r="J260" t="n">
        <v>0</v>
      </c>
      <c r="K260" t="n">
        <v>0</v>
      </c>
      <c r="L260" t="n">
        <v>0</v>
      </c>
      <c r="N260" t="inlineStr">
        <is>
          <t>FFFFFF</t>
        </is>
      </c>
      <c r="O260" t="inlineStr">
        <is>
          <t>L</t>
        </is>
      </c>
      <c r="Q260" t="n">
        <v>0</v>
      </c>
      <c r="R260" t="b">
        <v>0</v>
      </c>
      <c r="S260" t="inlineStr">
        <is>
          <t xml:space="preserve"> </t>
        </is>
      </c>
      <c r="T260" t="n">
        <v>0</v>
      </c>
    </row>
    <row r="261">
      <c r="A261" t="inlineStr">
        <is>
          <t>hero_alt_4</t>
        </is>
      </c>
      <c r="B261" t="n">
        <v>11</v>
      </c>
      <c r="C261" t="inlineStr">
        <is>
          <t>T</t>
        </is>
      </c>
      <c r="D261" t="n">
        <v>30</v>
      </c>
      <c r="E261" t="n">
        <v>130</v>
      </c>
      <c r="F261" t="n">
        <v>130</v>
      </c>
      <c r="G261" t="n">
        <v>280</v>
      </c>
      <c r="H261" t="inlineStr">
        <is>
          <t>custom</t>
        </is>
      </c>
      <c r="I261" t="n">
        <v>12</v>
      </c>
      <c r="J261" t="n">
        <v>0</v>
      </c>
      <c r="K261" t="n">
        <v>1</v>
      </c>
      <c r="L261" t="n">
        <v>0</v>
      </c>
      <c r="N261" t="inlineStr">
        <is>
          <t>FFFFFF</t>
        </is>
      </c>
      <c r="O261" t="inlineStr">
        <is>
          <t>L</t>
        </is>
      </c>
      <c r="Q261" t="n">
        <v>0</v>
      </c>
      <c r="R261" t="b">
        <v>1</v>
      </c>
      <c r="S261" t="inlineStr">
        <is>
          <t xml:space="preserve"> </t>
        </is>
      </c>
      <c r="T261" t="n">
        <v>0</v>
      </c>
    </row>
    <row r="262">
      <c r="A262" t="inlineStr">
        <is>
          <t>Image 4 credit</t>
        </is>
      </c>
      <c r="B262" t="n">
        <v>11</v>
      </c>
      <c r="C262" t="inlineStr">
        <is>
          <t>T</t>
        </is>
      </c>
      <c r="D262" t="n">
        <v>30</v>
      </c>
      <c r="E262" t="n">
        <v>280</v>
      </c>
      <c r="F262" t="n">
        <v>180</v>
      </c>
      <c r="G262" t="n">
        <v>283</v>
      </c>
      <c r="H262" t="inlineStr">
        <is>
          <t>custom</t>
        </is>
      </c>
      <c r="I262" t="n">
        <v>8</v>
      </c>
      <c r="J262" t="n">
        <v>0</v>
      </c>
      <c r="K262" t="n">
        <v>1</v>
      </c>
      <c r="L262" t="n">
        <v>0</v>
      </c>
      <c r="M262" t="inlineStr">
        <is>
          <t>584b9f</t>
        </is>
      </c>
      <c r="N262" t="inlineStr">
        <is>
          <t>FFFFFF</t>
        </is>
      </c>
      <c r="O262" t="inlineStr">
        <is>
          <t>R</t>
        </is>
      </c>
      <c r="Q262" t="n">
        <v>0</v>
      </c>
      <c r="R262" t="b">
        <v>1</v>
      </c>
      <c r="S262" t="inlineStr">
        <is>
          <t xml:space="preserve"> </t>
        </is>
      </c>
      <c r="T262" t="n">
        <v>0</v>
      </c>
    </row>
    <row r="263">
      <c r="A263" t="inlineStr">
        <is>
          <t>executive_summary</t>
        </is>
      </c>
      <c r="B263" t="n">
        <v>12</v>
      </c>
      <c r="C263" t="inlineStr">
        <is>
          <t>T</t>
        </is>
      </c>
      <c r="D263" t="n">
        <v>14</v>
      </c>
      <c r="E263" t="n">
        <v>20</v>
      </c>
      <c r="F263" t="n">
        <v>196</v>
      </c>
      <c r="G263" t="n">
        <v>25</v>
      </c>
      <c r="H263" t="inlineStr">
        <is>
          <t>custom</t>
        </is>
      </c>
      <c r="I263" t="n">
        <v>14</v>
      </c>
      <c r="J263" t="n">
        <v>1</v>
      </c>
      <c r="K263" t="n">
        <v>0</v>
      </c>
      <c r="L263" t="n">
        <v>0</v>
      </c>
      <c r="N263" t="inlineStr">
        <is>
          <t>FFFFFF</t>
        </is>
      </c>
      <c r="O263" t="inlineStr">
        <is>
          <t>L</t>
        </is>
      </c>
      <c r="Q263" t="n">
        <v>2</v>
      </c>
      <c r="R263" t="b">
        <v>1</v>
      </c>
      <c r="S263" t="inlineStr">
        <is>
          <t xml:space="preserve"> </t>
        </is>
      </c>
      <c r="T263" t="n">
        <v>0</v>
      </c>
    </row>
    <row r="264">
      <c r="A264" t="inlineStr">
        <is>
          <t>summary_policy</t>
        </is>
      </c>
      <c r="B264" t="n">
        <v>12</v>
      </c>
      <c r="C264" t="inlineStr">
        <is>
          <t>T</t>
        </is>
      </c>
      <c r="D264" t="n">
        <v>14</v>
      </c>
      <c r="E264" t="n">
        <v>33</v>
      </c>
      <c r="F264" t="n">
        <v>196</v>
      </c>
      <c r="G264" t="n">
        <v>38</v>
      </c>
      <c r="H264" t="inlineStr">
        <is>
          <t>custom</t>
        </is>
      </c>
      <c r="I264" t="n">
        <v>12</v>
      </c>
      <c r="J264" t="n">
        <v>0</v>
      </c>
      <c r="K264" t="n">
        <v>0</v>
      </c>
      <c r="L264" t="n">
        <v>0</v>
      </c>
      <c r="N264" t="inlineStr">
        <is>
          <t>FFFFFF</t>
        </is>
      </c>
      <c r="O264" t="inlineStr">
        <is>
          <t>L</t>
        </is>
      </c>
      <c r="Q264" t="n">
        <v>2</v>
      </c>
      <c r="R264" t="b">
        <v>1</v>
      </c>
      <c r="T264" t="n">
        <v>0</v>
      </c>
    </row>
    <row r="265">
      <c r="A265" t="inlineStr">
        <is>
          <t>line1</t>
        </is>
      </c>
      <c r="B265" t="n">
        <v>12</v>
      </c>
      <c r="C265" t="inlineStr">
        <is>
          <t>L</t>
        </is>
      </c>
      <c r="D265" t="n">
        <v>14</v>
      </c>
      <c r="E265" t="n">
        <v>200</v>
      </c>
      <c r="F265" t="n">
        <v>196</v>
      </c>
      <c r="G265" t="n">
        <v>200</v>
      </c>
      <c r="I265" t="n">
        <v>0</v>
      </c>
      <c r="J265" t="n">
        <v>0</v>
      </c>
      <c r="K265" t="n">
        <v>0</v>
      </c>
      <c r="L265" t="n">
        <v>0</v>
      </c>
      <c r="N265" t="inlineStr">
        <is>
          <t>FFFFFF</t>
        </is>
      </c>
      <c r="O265" t="inlineStr">
        <is>
          <t>L</t>
        </is>
      </c>
      <c r="Q265" t="n">
        <v>2</v>
      </c>
      <c r="R265" t="b">
        <v>0</v>
      </c>
      <c r="S265" t="inlineStr">
        <is>
          <t xml:space="preserve"> </t>
        </is>
      </c>
      <c r="T265" t="n">
        <v>0</v>
      </c>
    </row>
    <row r="266">
      <c r="A266" t="inlineStr">
        <is>
          <t>citation_word</t>
        </is>
      </c>
      <c r="B266" t="n">
        <v>12</v>
      </c>
      <c r="C266" t="inlineStr">
        <is>
          <t>T</t>
        </is>
      </c>
      <c r="D266" t="n">
        <v>14</v>
      </c>
      <c r="E266" t="n">
        <v>208</v>
      </c>
      <c r="F266" t="n">
        <v>196</v>
      </c>
      <c r="G266" t="n">
        <v>212</v>
      </c>
      <c r="H266" t="inlineStr">
        <is>
          <t>custom</t>
        </is>
      </c>
      <c r="I266" t="n">
        <v>12</v>
      </c>
      <c r="J266" t="n">
        <v>1</v>
      </c>
      <c r="K266" t="n">
        <v>0</v>
      </c>
      <c r="L266" t="n">
        <v>0</v>
      </c>
      <c r="N266" t="inlineStr">
        <is>
          <t>FFFFFF</t>
        </is>
      </c>
      <c r="O266" t="inlineStr">
        <is>
          <t>L</t>
        </is>
      </c>
      <c r="P266" s="1" t="n"/>
      <c r="Q266" t="n">
        <v>2</v>
      </c>
      <c r="R266" t="b">
        <v>1</v>
      </c>
      <c r="S266" t="inlineStr">
        <is>
          <t xml:space="preserve"> </t>
        </is>
      </c>
      <c r="T266" t="n">
        <v>0</v>
      </c>
    </row>
    <row r="267">
      <c r="A267" t="inlineStr">
        <is>
          <t>citation_doi</t>
        </is>
      </c>
      <c r="B267" t="n">
        <v>12</v>
      </c>
      <c r="C267" t="inlineStr">
        <is>
          <t>T</t>
        </is>
      </c>
      <c r="D267" t="n">
        <v>14</v>
      </c>
      <c r="E267" t="n">
        <v>214</v>
      </c>
      <c r="F267" t="n">
        <v>196</v>
      </c>
      <c r="G267" t="n">
        <v>218</v>
      </c>
      <c r="H267" t="inlineStr">
        <is>
          <t>custom</t>
        </is>
      </c>
      <c r="I267" t="n">
        <v>10</v>
      </c>
      <c r="J267" t="n">
        <v>0</v>
      </c>
      <c r="K267" t="n">
        <v>0</v>
      </c>
      <c r="L267" t="n">
        <v>0</v>
      </c>
      <c r="N267" t="inlineStr">
        <is>
          <t>FFFFFF</t>
        </is>
      </c>
      <c r="O267" t="inlineStr">
        <is>
          <t>L</t>
        </is>
      </c>
      <c r="P267" s="1" t="n"/>
      <c r="Q267" t="n">
        <v>2</v>
      </c>
      <c r="R267" t="b">
        <v>1</v>
      </c>
      <c r="S267" t="inlineStr">
        <is>
          <t xml:space="preserve"> </t>
        </is>
      </c>
      <c r="T267" t="n">
        <v>0</v>
      </c>
    </row>
    <row r="268" ht="15" customHeight="1">
      <c r="A268" t="inlineStr">
        <is>
          <t>cc</t>
        </is>
      </c>
      <c r="B268" t="n">
        <v>12</v>
      </c>
      <c r="C268" t="inlineStr">
        <is>
          <t>I</t>
        </is>
      </c>
      <c r="D268" t="n">
        <v>14</v>
      </c>
      <c r="E268" t="n">
        <v>248</v>
      </c>
      <c r="F268" t="n">
        <v>24</v>
      </c>
      <c r="G268" t="n">
        <v>258</v>
      </c>
      <c r="I268" t="n">
        <v>12</v>
      </c>
      <c r="J268" t="n">
        <v>0</v>
      </c>
      <c r="K268" t="n">
        <v>0</v>
      </c>
      <c r="L268" t="n">
        <v>0</v>
      </c>
      <c r="M268" t="inlineStr">
        <is>
          <t>CCCCCCC</t>
        </is>
      </c>
      <c r="N268" t="inlineStr">
        <is>
          <t>CCCCCC</t>
        </is>
      </c>
      <c r="O268" t="inlineStr">
        <is>
          <t>L</t>
        </is>
      </c>
      <c r="P268" s="5" t="inlineStr">
        <is>
          <t>configuration/assets/cc.svg</t>
        </is>
      </c>
      <c r="Q268" t="n">
        <v>2</v>
      </c>
      <c r="R268" t="b">
        <v>1</v>
      </c>
      <c r="T268" t="n">
        <v>0</v>
      </c>
    </row>
    <row r="269" ht="15" customHeight="1">
      <c r="A269" t="inlineStr">
        <is>
          <t>by</t>
        </is>
      </c>
      <c r="B269" t="n">
        <v>12</v>
      </c>
      <c r="C269" t="inlineStr">
        <is>
          <t>I</t>
        </is>
      </c>
      <c r="D269" t="n">
        <v>26</v>
      </c>
      <c r="E269" t="n">
        <v>248</v>
      </c>
      <c r="F269" t="n">
        <v>36</v>
      </c>
      <c r="G269" t="n">
        <v>258</v>
      </c>
      <c r="I269" t="n">
        <v>12</v>
      </c>
      <c r="J269" t="n">
        <v>0</v>
      </c>
      <c r="K269" t="n">
        <v>0</v>
      </c>
      <c r="L269" t="n">
        <v>0</v>
      </c>
      <c r="M269" t="inlineStr">
        <is>
          <t>CCCCCCC</t>
        </is>
      </c>
      <c r="N269" t="inlineStr">
        <is>
          <t>CCCCCC</t>
        </is>
      </c>
      <c r="O269" t="inlineStr">
        <is>
          <t>L</t>
        </is>
      </c>
      <c r="P269" s="5" t="inlineStr">
        <is>
          <t>configuration/assets/by.svg</t>
        </is>
      </c>
      <c r="Q269" t="n">
        <v>2</v>
      </c>
      <c r="R269" t="b">
        <v>1</v>
      </c>
      <c r="T269" t="n">
        <v>0</v>
      </c>
    </row>
    <row r="270" ht="15" customHeight="1">
      <c r="A270" t="inlineStr">
        <is>
          <t>nc</t>
        </is>
      </c>
      <c r="B270" t="n">
        <v>12</v>
      </c>
      <c r="C270" t="inlineStr">
        <is>
          <t>I</t>
        </is>
      </c>
      <c r="D270" t="n">
        <v>38</v>
      </c>
      <c r="E270" t="n">
        <v>248</v>
      </c>
      <c r="F270" t="n">
        <v>48</v>
      </c>
      <c r="G270" t="n">
        <v>258</v>
      </c>
      <c r="I270" t="n">
        <v>12</v>
      </c>
      <c r="J270" t="n">
        <v>0</v>
      </c>
      <c r="K270" t="n">
        <v>0</v>
      </c>
      <c r="L270" t="n">
        <v>0</v>
      </c>
      <c r="M270" t="inlineStr">
        <is>
          <t>CCCCCCC</t>
        </is>
      </c>
      <c r="N270" t="inlineStr">
        <is>
          <t>CCCCCC</t>
        </is>
      </c>
      <c r="O270" t="inlineStr">
        <is>
          <t>L</t>
        </is>
      </c>
      <c r="P270" s="5" t="inlineStr">
        <is>
          <t>configuration/assets/nc.svg</t>
        </is>
      </c>
      <c r="Q270" t="n">
        <v>2</v>
      </c>
      <c r="R270" t="b">
        <v>1</v>
      </c>
      <c r="T270" t="n">
        <v>0</v>
      </c>
    </row>
    <row r="271" ht="18" customHeight="1">
      <c r="A271" t="inlineStr">
        <is>
          <t>licence_url</t>
        </is>
      </c>
      <c r="B271" t="n">
        <v>12</v>
      </c>
      <c r="C271" t="inlineStr">
        <is>
          <t>W</t>
        </is>
      </c>
      <c r="D271" t="n">
        <v>14</v>
      </c>
      <c r="E271" t="n">
        <v>263</v>
      </c>
      <c r="F271" t="n">
        <v>196</v>
      </c>
      <c r="G271" t="n">
        <v>266</v>
      </c>
      <c r="H271" t="inlineStr">
        <is>
          <t>custom</t>
        </is>
      </c>
      <c r="I271" t="n">
        <v>10</v>
      </c>
      <c r="J271" t="n">
        <v>0</v>
      </c>
      <c r="K271" t="n">
        <v>0</v>
      </c>
      <c r="L271" t="n">
        <v>0</v>
      </c>
      <c r="N271" t="inlineStr">
        <is>
          <t>FFFFFF</t>
        </is>
      </c>
      <c r="O271" t="inlineStr">
        <is>
          <t>L</t>
        </is>
      </c>
      <c r="P271" s="5" t="inlineStr">
        <is>
          <t>This work is licenced under a Creative Commons CC BY-NC Attribution-NonCommercial 4.0 International License.</t>
        </is>
      </c>
      <c r="Q271" t="n">
        <v>2</v>
      </c>
      <c r="R271" t="b">
        <v>1</v>
      </c>
      <c r="S271" t="inlineStr">
        <is>
          <t>https://creativecommons.org/licenses/by-nc/4.0/</t>
        </is>
      </c>
      <c r="T271" t="n">
        <v>0</v>
      </c>
    </row>
    <row r="272">
      <c r="A272" t="inlineStr">
        <is>
          <t>line1</t>
        </is>
      </c>
      <c r="B272" t="n">
        <v>12</v>
      </c>
      <c r="C272" t="inlineStr">
        <is>
          <t>L</t>
        </is>
      </c>
      <c r="D272" t="n">
        <v>14</v>
      </c>
      <c r="E272" t="n">
        <v>274</v>
      </c>
      <c r="F272" t="n">
        <v>196</v>
      </c>
      <c r="G272" t="n">
        <v>274</v>
      </c>
      <c r="I272" t="n">
        <v>0</v>
      </c>
      <c r="J272" t="n">
        <v>0</v>
      </c>
      <c r="K272" t="n">
        <v>0</v>
      </c>
      <c r="L272" t="n">
        <v>0</v>
      </c>
      <c r="N272" t="inlineStr">
        <is>
          <t>FFFFFF</t>
        </is>
      </c>
      <c r="O272" t="inlineStr">
        <is>
          <t>L</t>
        </is>
      </c>
      <c r="Q272" t="n">
        <v>2</v>
      </c>
      <c r="R272" t="b">
        <v>0</v>
      </c>
      <c r="S272" t="inlineStr">
        <is>
          <t xml:space="preserve"> </t>
        </is>
      </c>
      <c r="T272" t="n">
        <v>0</v>
      </c>
    </row>
  </sheetData>
  <autoFilter ref="A1:T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T346"/>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title_city</t>
        </is>
      </c>
      <c r="B12" t="n">
        <v>17</v>
      </c>
      <c r="C12" t="inlineStr">
        <is>
          <t>T</t>
        </is>
      </c>
      <c r="D12" t="n">
        <v>0</v>
      </c>
      <c r="E12" t="n">
        <v>10</v>
      </c>
      <c r="F12" t="n">
        <v>200</v>
      </c>
      <c r="G12" t="n">
        <v>13</v>
      </c>
      <c r="H12" t="inlineStr">
        <is>
          <t>custom</t>
        </is>
      </c>
      <c r="I12" t="n">
        <v>10</v>
      </c>
      <c r="J12" t="n">
        <v>1</v>
      </c>
      <c r="K12" t="n">
        <v>0</v>
      </c>
      <c r="L12" t="n">
        <v>0</v>
      </c>
      <c r="M12" t="inlineStr">
        <is>
          <t>584b9f</t>
        </is>
      </c>
      <c r="N12" t="inlineStr">
        <is>
          <t>FFFFFF</t>
        </is>
      </c>
      <c r="O12" t="inlineStr">
        <is>
          <t>R</t>
        </is>
      </c>
      <c r="Q12" t="n">
        <v>5</v>
      </c>
      <c r="R12" t="b">
        <v>0</v>
      </c>
      <c r="S12" t="inlineStr">
        <is>
          <t xml:space="preserve"> </t>
        </is>
      </c>
      <c r="T12" t="n">
        <v>0</v>
      </c>
    </row>
    <row r="13">
      <c r="A13" t="inlineStr">
        <is>
          <t>title_city</t>
        </is>
      </c>
      <c r="B13" t="n">
        <v>19</v>
      </c>
      <c r="C13" t="inlineStr">
        <is>
          <t>T</t>
        </is>
      </c>
      <c r="D13" t="n">
        <v>0</v>
      </c>
      <c r="E13" t="n">
        <v>10</v>
      </c>
      <c r="F13" t="n">
        <v>200</v>
      </c>
      <c r="G13" t="n">
        <v>13</v>
      </c>
      <c r="H13" t="inlineStr">
        <is>
          <t>custom</t>
        </is>
      </c>
      <c r="I13" t="n">
        <v>10</v>
      </c>
      <c r="J13" t="n">
        <v>1</v>
      </c>
      <c r="K13" t="n">
        <v>0</v>
      </c>
      <c r="L13" t="n">
        <v>0</v>
      </c>
      <c r="M13" t="inlineStr">
        <is>
          <t>584b9f</t>
        </is>
      </c>
      <c r="N13" t="inlineStr">
        <is>
          <t>FFFFFF</t>
        </is>
      </c>
      <c r="O13" t="inlineStr">
        <is>
          <t>R</t>
        </is>
      </c>
      <c r="Q13" t="n">
        <v>5</v>
      </c>
      <c r="R13" t="b">
        <v>0</v>
      </c>
      <c r="S13" t="inlineStr">
        <is>
          <t xml:space="preserve"> </t>
        </is>
      </c>
      <c r="T13" t="n">
        <v>0</v>
      </c>
    </row>
    <row r="14">
      <c r="A14" t="inlineStr">
        <is>
          <t>title_city</t>
        </is>
      </c>
      <c r="B14" t="n">
        <v>21</v>
      </c>
      <c r="C14" t="inlineStr">
        <is>
          <t>T</t>
        </is>
      </c>
      <c r="D14" t="n">
        <v>0</v>
      </c>
      <c r="E14" t="n">
        <v>10</v>
      </c>
      <c r="F14" t="n">
        <v>200</v>
      </c>
      <c r="G14" t="n">
        <v>13</v>
      </c>
      <c r="H14" t="inlineStr">
        <is>
          <t>custom</t>
        </is>
      </c>
      <c r="I14" t="n">
        <v>10</v>
      </c>
      <c r="J14" t="n">
        <v>1</v>
      </c>
      <c r="K14" t="n">
        <v>0</v>
      </c>
      <c r="L14" t="n">
        <v>0</v>
      </c>
      <c r="M14" t="inlineStr">
        <is>
          <t>584b9f</t>
        </is>
      </c>
      <c r="N14" t="inlineStr">
        <is>
          <t>FFFFFF</t>
        </is>
      </c>
      <c r="O14" t="inlineStr">
        <is>
          <t>R</t>
        </is>
      </c>
      <c r="Q14" t="n">
        <v>5</v>
      </c>
      <c r="R14" t="b">
        <v>0</v>
      </c>
      <c r="S14" t="inlineStr">
        <is>
          <t xml:space="preserve"> </t>
        </is>
      </c>
      <c r="T14" t="n">
        <v>0</v>
      </c>
    </row>
    <row r="15">
      <c r="A15" t="inlineStr">
        <is>
          <t>title_city</t>
        </is>
      </c>
      <c r="B15" t="n">
        <v>23</v>
      </c>
      <c r="C15" t="inlineStr">
        <is>
          <t>T</t>
        </is>
      </c>
      <c r="D15" t="n">
        <v>0</v>
      </c>
      <c r="E15" t="n">
        <v>10</v>
      </c>
      <c r="F15" t="n">
        <v>200</v>
      </c>
      <c r="G15" t="n">
        <v>13</v>
      </c>
      <c r="H15" t="inlineStr">
        <is>
          <t>custom</t>
        </is>
      </c>
      <c r="I15" t="n">
        <v>10</v>
      </c>
      <c r="J15" t="n">
        <v>1</v>
      </c>
      <c r="K15" t="n">
        <v>0</v>
      </c>
      <c r="L15" t="n">
        <v>0</v>
      </c>
      <c r="M15" t="inlineStr">
        <is>
          <t>584b9f</t>
        </is>
      </c>
      <c r="N15" t="inlineStr">
        <is>
          <t>FFFFFF</t>
        </is>
      </c>
      <c r="O15" t="inlineStr">
        <is>
          <t>R</t>
        </is>
      </c>
      <c r="Q15" t="n">
        <v>5</v>
      </c>
      <c r="R15" t="b">
        <v>0</v>
      </c>
      <c r="S15" t="inlineStr">
        <is>
          <t xml:space="preserve"> </t>
        </is>
      </c>
      <c r="T15" t="n">
        <v>0</v>
      </c>
    </row>
    <row r="16">
      <c r="A16" t="inlineStr">
        <is>
          <t>title_series_line2</t>
        </is>
      </c>
      <c r="B16" t="n">
        <v>1</v>
      </c>
      <c r="C16" t="inlineStr">
        <is>
          <t>T</t>
        </is>
      </c>
      <c r="D16" t="n">
        <v>28</v>
      </c>
      <c r="E16" t="n">
        <v>155</v>
      </c>
      <c r="F16" t="n">
        <v>200</v>
      </c>
      <c r="G16" t="n">
        <v>163</v>
      </c>
      <c r="H16" t="inlineStr">
        <is>
          <t>custom</t>
        </is>
      </c>
      <c r="I16" t="n">
        <v>14</v>
      </c>
      <c r="J16" t="n">
        <v>1</v>
      </c>
      <c r="K16" t="n">
        <v>0</v>
      </c>
      <c r="L16" t="n">
        <v>0</v>
      </c>
      <c r="M16" t="inlineStr">
        <is>
          <t>584b9f</t>
        </is>
      </c>
      <c r="N16" t="inlineStr">
        <is>
          <t>FFFFFF</t>
        </is>
      </c>
      <c r="O16" t="inlineStr">
        <is>
          <t>L</t>
        </is>
      </c>
      <c r="Q16" t="n">
        <v>3</v>
      </c>
      <c r="R16" t="b">
        <v>1</v>
      </c>
      <c r="S16" t="inlineStr">
        <is>
          <t xml:space="preserve"> </t>
        </is>
      </c>
      <c r="T16" t="n">
        <v>0</v>
      </c>
    </row>
    <row r="17">
      <c r="A17" t="inlineStr">
        <is>
          <t>title_series_line1</t>
        </is>
      </c>
      <c r="B17" t="n">
        <v>1</v>
      </c>
      <c r="C17" t="inlineStr">
        <is>
          <t>T</t>
        </is>
      </c>
      <c r="D17" t="n">
        <v>28</v>
      </c>
      <c r="E17" t="n">
        <v>163</v>
      </c>
      <c r="F17" t="n">
        <v>200</v>
      </c>
      <c r="G17" t="n">
        <v>169</v>
      </c>
      <c r="H17" t="inlineStr">
        <is>
          <t>custom</t>
        </is>
      </c>
      <c r="I17" t="n">
        <v>14</v>
      </c>
      <c r="J17" t="n">
        <v>0</v>
      </c>
      <c r="K17" t="n">
        <v>0</v>
      </c>
      <c r="L17" t="n">
        <v>0</v>
      </c>
      <c r="M17" t="inlineStr">
        <is>
          <t>584b9f</t>
        </is>
      </c>
      <c r="N17" t="inlineStr">
        <is>
          <t>FFFFFF</t>
        </is>
      </c>
      <c r="O17" t="inlineStr">
        <is>
          <t>L</t>
        </is>
      </c>
      <c r="Q17" t="n">
        <v>2</v>
      </c>
      <c r="R17" t="b">
        <v>1</v>
      </c>
      <c r="S17" t="inlineStr">
        <is>
          <t xml:space="preserve"> </t>
        </is>
      </c>
      <c r="T17" t="n">
        <v>0</v>
      </c>
    </row>
    <row r="18">
      <c r="A18" t="inlineStr">
        <is>
          <t>subtitle</t>
        </is>
      </c>
      <c r="B18" t="n">
        <v>-999</v>
      </c>
      <c r="C18" t="inlineStr">
        <is>
          <t>T</t>
        </is>
      </c>
      <c r="D18" t="n">
        <v>28</v>
      </c>
      <c r="E18" t="n">
        <v>169</v>
      </c>
      <c r="F18" t="n">
        <v>200</v>
      </c>
      <c r="G18" t="n">
        <v>175</v>
      </c>
      <c r="H18" t="inlineStr">
        <is>
          <t>custom</t>
        </is>
      </c>
      <c r="I18" t="n">
        <v>14</v>
      </c>
      <c r="J18" t="n">
        <v>0</v>
      </c>
      <c r="K18" t="n">
        <v>0</v>
      </c>
      <c r="L18" t="n">
        <v>0</v>
      </c>
      <c r="M18" t="inlineStr">
        <is>
          <t>584b9f</t>
        </is>
      </c>
      <c r="N18" t="inlineStr">
        <is>
          <t>FFFFFF</t>
        </is>
      </c>
      <c r="O18" t="inlineStr">
        <is>
          <t>L</t>
        </is>
      </c>
      <c r="Q18" t="n">
        <v>1</v>
      </c>
      <c r="R18" t="b">
        <v>1</v>
      </c>
      <c r="S18" t="inlineStr">
        <is>
          <t xml:space="preserve">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xml:space="preserve"> </t>
        </is>
      </c>
      <c r="T19" t="n">
        <v>0</v>
      </c>
    </row>
    <row r="20">
      <c r="A20" t="inlineStr">
        <is>
          <t>Image 1 credit</t>
        </is>
      </c>
      <c r="B20" t="n">
        <v>1</v>
      </c>
      <c r="C20" t="inlineStr">
        <is>
          <t>T</t>
        </is>
      </c>
      <c r="D20" t="n">
        <v>28</v>
      </c>
      <c r="E20" t="n">
        <v>193</v>
      </c>
      <c r="F20" t="n">
        <v>205</v>
      </c>
      <c r="G20" t="n">
        <v>198</v>
      </c>
      <c r="H20" t="inlineStr">
        <is>
          <t>custom</t>
        </is>
      </c>
      <c r="I20" t="n">
        <v>8</v>
      </c>
      <c r="J20" t="n">
        <v>0</v>
      </c>
      <c r="K20" t="n">
        <v>1</v>
      </c>
      <c r="L20" t="n">
        <v>0</v>
      </c>
      <c r="M20" t="inlineStr">
        <is>
          <t>584b9f</t>
        </is>
      </c>
      <c r="N20" t="inlineStr">
        <is>
          <t>FFFFFF</t>
        </is>
      </c>
      <c r="O20" t="inlineStr">
        <is>
          <t>R</t>
        </is>
      </c>
      <c r="Q20" t="n">
        <v>0</v>
      </c>
      <c r="R20" t="b">
        <v>1</v>
      </c>
      <c r="S20" t="inlineStr">
        <is>
          <t xml:space="preserve">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xml:space="preserve">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xml:space="preserve">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fawn - base box.svg</t>
        </is>
      </c>
      <c r="Q23" t="n">
        <v>1</v>
      </c>
      <c r="R23" t="b">
        <v>0</v>
      </c>
      <c r="S23" t="inlineStr">
        <is>
          <t xml:space="preserve">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f>E25+4</f>
        <v/>
      </c>
      <c r="H25" t="inlineStr">
        <is>
          <t>custom</t>
        </is>
      </c>
      <c r="I25" t="n">
        <v>9</v>
      </c>
      <c r="J25" t="n">
        <v>0</v>
      </c>
      <c r="K25" t="n">
        <v>0</v>
      </c>
      <c r="L25" t="n">
        <v>0</v>
      </c>
      <c r="M25" t="inlineStr">
        <is>
          <t>231f20</t>
        </is>
      </c>
      <c r="N25" t="inlineStr">
        <is>
          <t>f1dec7</t>
        </is>
      </c>
      <c r="O25" t="inlineStr">
        <is>
          <t>L</t>
        </is>
      </c>
      <c r="Q25" t="n">
        <v>3</v>
      </c>
      <c r="R25" t="b">
        <v>1</v>
      </c>
      <c r="S25" t="inlineStr">
        <is>
          <t xml:space="preserve"> </t>
        </is>
      </c>
      <c r="T25" t="n">
        <v>0</v>
      </c>
    </row>
    <row r="26">
      <c r="A26" t="inlineStr">
        <is>
          <t>GHSCIC</t>
        </is>
      </c>
      <c r="B26" t="n">
        <v>-999</v>
      </c>
      <c r="C26" t="inlineStr">
        <is>
          <t>T</t>
        </is>
      </c>
      <c r="D26" t="n">
        <v>10</v>
      </c>
      <c r="E26" t="n">
        <v>238</v>
      </c>
      <c r="F26" t="n">
        <v>196</v>
      </c>
      <c r="G26">
        <f>E26+5</f>
        <v/>
      </c>
      <c r="H26" t="inlineStr">
        <is>
          <t>custom</t>
        </is>
      </c>
      <c r="I26" t="n">
        <v>10</v>
      </c>
      <c r="J26" t="n">
        <v>0</v>
      </c>
      <c r="K26" t="n">
        <v>0</v>
      </c>
      <c r="L26" t="n">
        <v>0</v>
      </c>
      <c r="M26" t="inlineStr">
        <is>
          <t>231f20</t>
        </is>
      </c>
      <c r="N26" t="inlineStr">
        <is>
          <t>f1dec7</t>
        </is>
      </c>
      <c r="O26" t="inlineStr">
        <is>
          <t>L</t>
        </is>
      </c>
      <c r="P26" s="1" t="inlineStr">
        <is>
          <t>Global Healthy &amp; Sustainable City Indicators Collaboration</t>
        </is>
      </c>
      <c r="Q26" t="n">
        <v>2</v>
      </c>
      <c r="R26" t="b">
        <v>1</v>
      </c>
      <c r="T26" t="n">
        <v>0</v>
      </c>
    </row>
    <row r="27">
      <c r="A27" t="inlineStr">
        <is>
          <t>authors</t>
        </is>
      </c>
      <c r="B27" t="n">
        <v>-999</v>
      </c>
      <c r="C27" t="inlineStr">
        <is>
          <t>T</t>
        </is>
      </c>
      <c r="D27" t="n">
        <v>10</v>
      </c>
      <c r="E27">
        <f>G26+6</f>
        <v/>
      </c>
      <c r="F27" t="n">
        <v>196</v>
      </c>
      <c r="G27">
        <f>E27+5</f>
        <v/>
      </c>
      <c r="H27" t="inlineStr">
        <is>
          <t>custom</t>
        </is>
      </c>
      <c r="I27" t="n">
        <v>10</v>
      </c>
      <c r="J27" t="n">
        <v>0</v>
      </c>
      <c r="K27" t="n">
        <v>0</v>
      </c>
      <c r="L27" t="n">
        <v>0</v>
      </c>
      <c r="M27" t="inlineStr">
        <is>
          <t>231f20</t>
        </is>
      </c>
      <c r="N27" t="inlineStr">
        <is>
          <t>f1dec7</t>
        </is>
      </c>
      <c r="O27" t="inlineStr">
        <is>
          <t>L</t>
        </is>
      </c>
      <c r="P27" s="1" t="n"/>
      <c r="Q27" t="n">
        <v>2</v>
      </c>
      <c r="R27" t="b">
        <v>1</v>
      </c>
      <c r="T27" t="n">
        <v>0</v>
      </c>
    </row>
    <row r="28">
      <c r="A28" t="inlineStr">
        <is>
          <t>edited</t>
        </is>
      </c>
      <c r="B28" t="n">
        <v>-999</v>
      </c>
      <c r="C28" t="inlineStr">
        <is>
          <t>T</t>
        </is>
      </c>
      <c r="D28" t="n">
        <v>10</v>
      </c>
      <c r="E28">
        <f>G27+10</f>
        <v/>
      </c>
      <c r="F28" t="n">
        <v>196</v>
      </c>
      <c r="G28">
        <f>E28+5</f>
        <v/>
      </c>
      <c r="H28" t="inlineStr">
        <is>
          <t>custom</t>
        </is>
      </c>
      <c r="I28" t="n">
        <v>10</v>
      </c>
      <c r="J28" t="n">
        <v>0</v>
      </c>
      <c r="K28" t="n">
        <v>0</v>
      </c>
      <c r="L28" t="n">
        <v>0</v>
      </c>
      <c r="N28" t="inlineStr">
        <is>
          <t>f1dec7</t>
        </is>
      </c>
      <c r="O28" t="inlineStr">
        <is>
          <t>L</t>
        </is>
      </c>
      <c r="P28" s="1" t="n"/>
      <c r="Q28" t="n">
        <v>2</v>
      </c>
      <c r="R28" t="b">
        <v>1</v>
      </c>
      <c r="T28" t="n">
        <v>0</v>
      </c>
    </row>
    <row r="29">
      <c r="A29" t="inlineStr">
        <is>
          <t>translation</t>
        </is>
      </c>
      <c r="B29" t="n">
        <v>-999</v>
      </c>
      <c r="C29" t="inlineStr">
        <is>
          <t>T</t>
        </is>
      </c>
      <c r="D29" t="n">
        <v>10</v>
      </c>
      <c r="E29">
        <f>G28+10</f>
        <v/>
      </c>
      <c r="F29" t="n">
        <v>196</v>
      </c>
      <c r="G29">
        <f>E29+5</f>
        <v/>
      </c>
      <c r="H29" t="inlineStr">
        <is>
          <t>custom</t>
        </is>
      </c>
      <c r="I29" t="n">
        <v>10</v>
      </c>
      <c r="J29" t="n">
        <v>0</v>
      </c>
      <c r="K29" t="n">
        <v>0</v>
      </c>
      <c r="L29" t="n">
        <v>0</v>
      </c>
      <c r="M29" t="inlineStr">
        <is>
          <t>231f20</t>
        </is>
      </c>
      <c r="N29" t="inlineStr">
        <is>
          <t>f1dec7</t>
        </is>
      </c>
      <c r="O29" t="inlineStr">
        <is>
          <t>L</t>
        </is>
      </c>
      <c r="P29" s="1" t="n"/>
      <c r="Q29" t="n">
        <v>2</v>
      </c>
      <c r="R29" t="b">
        <v>1</v>
      </c>
      <c r="T29" t="n">
        <v>0</v>
      </c>
    </row>
    <row r="30">
      <c r="A30" t="inlineStr">
        <is>
          <t>other_credits</t>
        </is>
      </c>
      <c r="B30" t="n">
        <v>-999</v>
      </c>
      <c r="C30" t="inlineStr">
        <is>
          <t>T</t>
        </is>
      </c>
      <c r="D30" t="n">
        <v>10</v>
      </c>
      <c r="E30">
        <f>G29+10</f>
        <v/>
      </c>
      <c r="F30" t="n">
        <v>196</v>
      </c>
      <c r="G30">
        <f>E30+5</f>
        <v/>
      </c>
      <c r="H30" t="inlineStr">
        <is>
          <t>custom</t>
        </is>
      </c>
      <c r="I30" t="n">
        <v>10</v>
      </c>
      <c r="J30" t="n">
        <v>0</v>
      </c>
      <c r="K30" t="n">
        <v>0</v>
      </c>
      <c r="L30" t="n">
        <v>0</v>
      </c>
      <c r="M30" t="inlineStr">
        <is>
          <t>231f20</t>
        </is>
      </c>
      <c r="N30" t="inlineStr">
        <is>
          <t>f1dec7</t>
        </is>
      </c>
      <c r="O30" t="inlineStr">
        <is>
          <t>L</t>
        </is>
      </c>
      <c r="P30" s="1" t="n"/>
      <c r="Q30" t="n">
        <v>2</v>
      </c>
      <c r="R30" t="b">
        <v>1</v>
      </c>
      <c r="T30" t="n">
        <v>0</v>
      </c>
    </row>
    <row r="31">
      <c r="A31" t="inlineStr">
        <is>
          <t>colour_page</t>
        </is>
      </c>
      <c r="B31" t="n">
        <v>2</v>
      </c>
      <c r="C31" t="inlineStr">
        <is>
          <t>B</t>
        </is>
      </c>
      <c r="D31" t="n">
        <v>210</v>
      </c>
      <c r="E31" t="n">
        <v>0</v>
      </c>
      <c r="F31" t="n">
        <v>0</v>
      </c>
      <c r="G31" t="n">
        <v>298</v>
      </c>
      <c r="I31" t="n">
        <v>0</v>
      </c>
      <c r="J31" t="n">
        <v>0</v>
      </c>
      <c r="K31" t="n">
        <v>0</v>
      </c>
      <c r="L31" t="n">
        <v>0</v>
      </c>
      <c r="M31" t="inlineStr">
        <is>
          <t>f1dec7</t>
        </is>
      </c>
      <c r="N31" t="inlineStr">
        <is>
          <t>f1dec7</t>
        </is>
      </c>
      <c r="O31" t="inlineStr">
        <is>
          <t>L</t>
        </is>
      </c>
      <c r="Q31" t="n">
        <v>0</v>
      </c>
      <c r="R31" t="b">
        <v>0</v>
      </c>
      <c r="S31" t="inlineStr">
        <is>
          <t xml:space="preserve">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xml:space="preserve">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xml:space="preserve">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xml:space="preserve">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xml:space="preserve">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xml:space="preserve">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xml:space="preserve"> </t>
        </is>
      </c>
      <c r="T37" t="n">
        <v>0</v>
      </c>
    </row>
    <row r="38">
      <c r="A38" t="inlineStr">
        <is>
          <t>series_interpretation</t>
        </is>
      </c>
      <c r="B38" t="n">
        <v>-999</v>
      </c>
      <c r="C38" t="inlineStr">
        <is>
          <t>T</t>
        </is>
      </c>
      <c r="D38" t="n">
        <v>14</v>
      </c>
      <c r="E38" t="n">
        <v>69</v>
      </c>
      <c r="F38" t="n">
        <v>196</v>
      </c>
      <c r="G38" t="n">
        <v>73</v>
      </c>
      <c r="H38" t="inlineStr">
        <is>
          <t>custom</t>
        </is>
      </c>
      <c r="I38" t="n">
        <v>9</v>
      </c>
      <c r="J38" t="n">
        <v>0</v>
      </c>
      <c r="K38" t="n">
        <v>0</v>
      </c>
      <c r="L38" t="n">
        <v>0</v>
      </c>
      <c r="N38" t="inlineStr">
        <is>
          <t>FFFFFF</t>
        </is>
      </c>
      <c r="O38" t="inlineStr">
        <is>
          <t>L</t>
        </is>
      </c>
      <c r="Q38" t="n">
        <v>3</v>
      </c>
      <c r="R38" t="b">
        <v>1</v>
      </c>
      <c r="S38" t="inlineStr">
        <is>
          <t xml:space="preserve"> </t>
        </is>
      </c>
      <c r="T38" t="n">
        <v>0</v>
      </c>
    </row>
    <row r="39">
      <c r="A39" t="inlineStr">
        <is>
          <t>executive_summary</t>
        </is>
      </c>
      <c r="B39" t="n">
        <v>-999</v>
      </c>
      <c r="C39" t="inlineStr">
        <is>
          <t>T</t>
        </is>
      </c>
      <c r="D39" t="n">
        <v>14</v>
      </c>
      <c r="E39" t="n">
        <v>100</v>
      </c>
      <c r="F39" t="n">
        <v>196</v>
      </c>
      <c r="G39" t="n">
        <v>105</v>
      </c>
      <c r="H39" t="inlineStr">
        <is>
          <t>custom</t>
        </is>
      </c>
      <c r="I39" t="n">
        <v>14</v>
      </c>
      <c r="J39" t="n">
        <v>1</v>
      </c>
      <c r="K39" t="n">
        <v>0</v>
      </c>
      <c r="L39" t="n">
        <v>0</v>
      </c>
      <c r="N39" t="inlineStr">
        <is>
          <t>FFFFFF</t>
        </is>
      </c>
      <c r="O39" t="inlineStr">
        <is>
          <t>L</t>
        </is>
      </c>
      <c r="Q39" t="n">
        <v>3</v>
      </c>
      <c r="R39" t="b">
        <v>1</v>
      </c>
      <c r="S39" t="inlineStr">
        <is>
          <t xml:space="preserve"> </t>
        </is>
      </c>
      <c r="T39" t="n">
        <v>0</v>
      </c>
    </row>
    <row r="40">
      <c r="A40" t="inlineStr">
        <is>
          <t>region_box</t>
        </is>
      </c>
      <c r="B40" t="n">
        <v>-999</v>
      </c>
      <c r="C40" t="inlineStr">
        <is>
          <t>B</t>
        </is>
      </c>
      <c r="D40" t="n">
        <v>13</v>
      </c>
      <c r="E40" t="n">
        <v>98</v>
      </c>
      <c r="F40" t="n">
        <v>210</v>
      </c>
      <c r="G40" t="n">
        <v>50</v>
      </c>
      <c r="I40" t="n">
        <v>0</v>
      </c>
      <c r="J40" t="n">
        <v>1</v>
      </c>
      <c r="K40" t="n">
        <v>0</v>
      </c>
      <c r="L40" t="n">
        <v>0</v>
      </c>
      <c r="N40" t="inlineStr">
        <is>
          <t>FFFFFF</t>
        </is>
      </c>
      <c r="O40" t="inlineStr">
        <is>
          <t>L</t>
        </is>
      </c>
      <c r="Q40" t="n">
        <v>0</v>
      </c>
      <c r="R40" t="b">
        <v>0</v>
      </c>
      <c r="S40" t="inlineStr">
        <is>
          <t xml:space="preserve"> </t>
        </is>
      </c>
      <c r="T40" t="n">
        <v>0</v>
      </c>
    </row>
    <row r="41">
      <c r="A41" t="inlineStr">
        <is>
          <t>City context</t>
        </is>
      </c>
      <c r="B41" t="n">
        <v>3</v>
      </c>
      <c r="C41" t="inlineStr">
        <is>
          <t>T</t>
        </is>
      </c>
      <c r="D41" t="n">
        <v>14</v>
      </c>
      <c r="E41" t="n">
        <v>92</v>
      </c>
      <c r="F41" t="n">
        <v>196</v>
      </c>
      <c r="G41" t="n">
        <v>97</v>
      </c>
      <c r="H41" t="inlineStr">
        <is>
          <t>custom</t>
        </is>
      </c>
      <c r="I41" t="n">
        <v>14</v>
      </c>
      <c r="J41" t="n">
        <v>1</v>
      </c>
      <c r="K41" t="n">
        <v>0</v>
      </c>
      <c r="L41" t="n">
        <v>0</v>
      </c>
      <c r="N41" t="inlineStr">
        <is>
          <t>FFFFFF</t>
        </is>
      </c>
      <c r="O41" t="inlineStr">
        <is>
          <t>L</t>
        </is>
      </c>
      <c r="Q41" t="n">
        <v>3</v>
      </c>
      <c r="R41" t="b">
        <v>1</v>
      </c>
      <c r="S41" t="inlineStr">
        <is>
          <t xml:space="preserve"> </t>
        </is>
      </c>
      <c r="T41" t="n">
        <v>0</v>
      </c>
    </row>
    <row r="42">
      <c r="A42" t="inlineStr">
        <is>
          <t>City context blurb</t>
        </is>
      </c>
      <c r="B42" t="n">
        <v>3</v>
      </c>
      <c r="C42" t="inlineStr">
        <is>
          <t>T</t>
        </is>
      </c>
      <c r="D42" t="n">
        <v>14</v>
      </c>
      <c r="E42" t="n">
        <v>101</v>
      </c>
      <c r="F42" t="n">
        <v>196</v>
      </c>
      <c r="G42" t="n">
        <v>106</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Levels of government</t>
        </is>
      </c>
      <c r="B43" t="n">
        <v>3</v>
      </c>
      <c r="C43" t="inlineStr">
        <is>
          <t>T</t>
        </is>
      </c>
      <c r="D43" t="n">
        <v>14</v>
      </c>
      <c r="E43" t="n">
        <v>132</v>
      </c>
      <c r="F43" t="n">
        <v>196</v>
      </c>
      <c r="G43" t="n">
        <v>137</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Levels of government blurb</t>
        </is>
      </c>
      <c r="B44" t="n">
        <v>3</v>
      </c>
      <c r="C44" t="inlineStr">
        <is>
          <t>T</t>
        </is>
      </c>
      <c r="D44" t="n">
        <v>14</v>
      </c>
      <c r="E44" t="n">
        <v>141</v>
      </c>
      <c r="F44" t="n">
        <v>196</v>
      </c>
      <c r="G44" t="n">
        <v>146</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Demographics and health equity</t>
        </is>
      </c>
      <c r="B45" t="n">
        <v>3</v>
      </c>
      <c r="C45" t="inlineStr">
        <is>
          <t>T</t>
        </is>
      </c>
      <c r="D45" t="n">
        <v>14</v>
      </c>
      <c r="E45" t="n">
        <v>158</v>
      </c>
      <c r="F45" t="n">
        <v>196</v>
      </c>
      <c r="G45" t="n">
        <v>163</v>
      </c>
      <c r="H45" t="inlineStr">
        <is>
          <t>custom</t>
        </is>
      </c>
      <c r="I45" t="n">
        <v>12</v>
      </c>
      <c r="J45" t="n">
        <v>1</v>
      </c>
      <c r="K45" t="n">
        <v>0</v>
      </c>
      <c r="L45" t="n">
        <v>0</v>
      </c>
      <c r="N45" t="inlineStr">
        <is>
          <t>FFFFFF</t>
        </is>
      </c>
      <c r="O45" t="inlineStr">
        <is>
          <t>L</t>
        </is>
      </c>
      <c r="Q45" t="n">
        <v>3</v>
      </c>
      <c r="R45" t="b">
        <v>1</v>
      </c>
      <c r="S45" t="inlineStr">
        <is>
          <t xml:space="preserve"> </t>
        </is>
      </c>
      <c r="T45" t="n">
        <v>0</v>
      </c>
    </row>
    <row r="46">
      <c r="A46" t="inlineStr">
        <is>
          <t>Demographics and health equity blurb</t>
        </is>
      </c>
      <c r="B46" t="n">
        <v>3</v>
      </c>
      <c r="C46" t="inlineStr">
        <is>
          <t>T</t>
        </is>
      </c>
      <c r="D46" t="n">
        <v>14</v>
      </c>
      <c r="E46" t="n">
        <v>167</v>
      </c>
      <c r="F46" t="n">
        <v>196</v>
      </c>
      <c r="G46" t="n">
        <v>172</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Environmental disaster context</t>
        </is>
      </c>
      <c r="B47" t="n">
        <v>3</v>
      </c>
      <c r="C47" t="inlineStr">
        <is>
          <t>T</t>
        </is>
      </c>
      <c r="D47" t="n">
        <v>14</v>
      </c>
      <c r="E47" t="n">
        <v>200</v>
      </c>
      <c r="F47" t="n">
        <v>196</v>
      </c>
      <c r="G47" t="n">
        <v>205</v>
      </c>
      <c r="H47" t="inlineStr">
        <is>
          <t>custom</t>
        </is>
      </c>
      <c r="I47" t="n">
        <v>12</v>
      </c>
      <c r="J47" t="n">
        <v>1</v>
      </c>
      <c r="K47" t="n">
        <v>0</v>
      </c>
      <c r="L47" t="n">
        <v>0</v>
      </c>
      <c r="N47" t="inlineStr">
        <is>
          <t>FFFFFF</t>
        </is>
      </c>
      <c r="O47" t="inlineStr">
        <is>
          <t>L</t>
        </is>
      </c>
      <c r="Q47" t="n">
        <v>3</v>
      </c>
      <c r="R47" t="b">
        <v>1</v>
      </c>
      <c r="S47" t="inlineStr">
        <is>
          <t xml:space="preserve"> </t>
        </is>
      </c>
      <c r="T47" t="n">
        <v>0</v>
      </c>
    </row>
    <row r="48">
      <c r="A48" t="inlineStr">
        <is>
          <t>Environmental disaster context blurb</t>
        </is>
      </c>
      <c r="B48" t="n">
        <v>3</v>
      </c>
      <c r="C48" t="inlineStr">
        <is>
          <t>T</t>
        </is>
      </c>
      <c r="D48" t="n">
        <v>14</v>
      </c>
      <c r="E48" t="n">
        <v>209</v>
      </c>
      <c r="F48" t="n">
        <v>196</v>
      </c>
      <c r="G48" t="n">
        <v>214</v>
      </c>
      <c r="H48" t="inlineStr">
        <is>
          <t>custom</t>
        </is>
      </c>
      <c r="I48" t="n">
        <v>12</v>
      </c>
      <c r="J48" t="n">
        <v>0</v>
      </c>
      <c r="K48" t="n">
        <v>0</v>
      </c>
      <c r="L48" t="n">
        <v>0</v>
      </c>
      <c r="N48" t="inlineStr">
        <is>
          <t>FFFFFF</t>
        </is>
      </c>
      <c r="O48" t="inlineStr">
        <is>
          <t>L</t>
        </is>
      </c>
      <c r="Q48" t="n">
        <v>3</v>
      </c>
      <c r="R48" t="b">
        <v>1</v>
      </c>
      <c r="S48" t="inlineStr">
        <is>
          <t xml:space="preserve"> </t>
        </is>
      </c>
      <c r="T48" t="n">
        <v>0</v>
      </c>
    </row>
    <row r="49">
      <c r="A49" t="inlineStr">
        <is>
          <t>Study region</t>
        </is>
      </c>
      <c r="B49" t="n">
        <v>4</v>
      </c>
      <c r="C49" t="inlineStr">
        <is>
          <t>T</t>
        </is>
      </c>
      <c r="D49" t="n">
        <v>14</v>
      </c>
      <c r="E49" t="n">
        <v>20</v>
      </c>
      <c r="F49" t="n">
        <v>196</v>
      </c>
      <c r="G49" t="n">
        <v>25</v>
      </c>
      <c r="H49" t="inlineStr">
        <is>
          <t>custom</t>
        </is>
      </c>
      <c r="I49" t="n">
        <v>14</v>
      </c>
      <c r="J49" t="n">
        <v>1</v>
      </c>
      <c r="K49" t="n">
        <v>0</v>
      </c>
      <c r="L49" t="n">
        <v>0</v>
      </c>
      <c r="N49" t="inlineStr">
        <is>
          <t>FFFFFF</t>
        </is>
      </c>
      <c r="O49" t="inlineStr">
        <is>
          <t>L</t>
        </is>
      </c>
      <c r="Q49" t="n">
        <v>3</v>
      </c>
      <c r="R49" t="b">
        <v>1</v>
      </c>
      <c r="S49" t="inlineStr">
        <is>
          <t xml:space="preserve"> </t>
        </is>
      </c>
      <c r="T49" t="n">
        <v>0</v>
      </c>
    </row>
    <row r="50">
      <c r="A50" t="inlineStr">
        <is>
          <t>study_region_context_caption</t>
        </is>
      </c>
      <c r="B50" t="n">
        <v>4</v>
      </c>
      <c r="C50" t="inlineStr">
        <is>
          <t>T</t>
        </is>
      </c>
      <c r="D50" t="n">
        <v>14</v>
      </c>
      <c r="E50" t="n">
        <v>33</v>
      </c>
      <c r="F50" t="n">
        <v>196</v>
      </c>
      <c r="G50" t="n">
        <v>38</v>
      </c>
      <c r="H50" t="inlineStr">
        <is>
          <t>custom</t>
        </is>
      </c>
      <c r="I50" t="n">
        <v>12</v>
      </c>
      <c r="J50" t="n">
        <v>0</v>
      </c>
      <c r="K50" t="n">
        <v>0</v>
      </c>
      <c r="L50" t="n">
        <v>0</v>
      </c>
      <c r="N50" t="inlineStr">
        <is>
          <t>FFFFFF</t>
        </is>
      </c>
      <c r="O50" t="inlineStr">
        <is>
          <t>L</t>
        </is>
      </c>
      <c r="Q50" t="n">
        <v>3</v>
      </c>
      <c r="R50" t="b">
        <v>1</v>
      </c>
      <c r="S50" t="inlineStr">
        <is>
          <t xml:space="preserve"> </t>
        </is>
      </c>
      <c r="T50" t="n">
        <v>0</v>
      </c>
    </row>
    <row r="51">
      <c r="A51" t="inlineStr">
        <is>
          <t>study_region_context</t>
        </is>
      </c>
      <c r="B51" t="n">
        <v>4</v>
      </c>
      <c r="C51" t="inlineStr">
        <is>
          <t>I</t>
        </is>
      </c>
      <c r="D51" t="n">
        <v>15</v>
      </c>
      <c r="E51" t="n">
        <v>55</v>
      </c>
      <c r="F51" t="n">
        <v>196</v>
      </c>
      <c r="G51" t="n">
        <v>190</v>
      </c>
      <c r="I51" t="n">
        <v>0</v>
      </c>
      <c r="J51" t="n">
        <v>0</v>
      </c>
      <c r="K51" t="n">
        <v>0</v>
      </c>
      <c r="L51" t="n">
        <v>0</v>
      </c>
      <c r="N51" t="inlineStr">
        <is>
          <t>FFFFFF</t>
        </is>
      </c>
      <c r="O51" t="inlineStr">
        <is>
          <t>L</t>
        </is>
      </c>
      <c r="Q51" t="n">
        <v>2</v>
      </c>
      <c r="R51" t="b">
        <v>0</v>
      </c>
      <c r="S51" t="inlineStr">
        <is>
          <t xml:space="preserve"> </t>
        </is>
      </c>
      <c r="T51" t="n">
        <v>0</v>
      </c>
    </row>
    <row r="52">
      <c r="A52" t="inlineStr">
        <is>
          <t>legend_box</t>
        </is>
      </c>
      <c r="B52" t="n">
        <v>-999</v>
      </c>
      <c r="C52" t="inlineStr">
        <is>
          <t>B</t>
        </is>
      </c>
      <c r="D52" t="n">
        <v>40</v>
      </c>
      <c r="E52" t="n">
        <v>200</v>
      </c>
      <c r="F52" t="n">
        <v>170</v>
      </c>
      <c r="G52" t="n">
        <v>240</v>
      </c>
      <c r="I52" t="n">
        <v>0</v>
      </c>
      <c r="J52" t="n">
        <v>1</v>
      </c>
      <c r="K52" t="n">
        <v>0</v>
      </c>
      <c r="L52" t="n">
        <v>0</v>
      </c>
      <c r="N52" t="inlineStr">
        <is>
          <t>1a595a</t>
        </is>
      </c>
      <c r="O52" t="inlineStr">
        <is>
          <t>L</t>
        </is>
      </c>
      <c r="Q52" t="n">
        <v>0</v>
      </c>
      <c r="R52" t="b">
        <v>0</v>
      </c>
      <c r="S52" t="inlineStr">
        <is>
          <t xml:space="preserve"> </t>
        </is>
      </c>
      <c r="T52" t="n">
        <v>0</v>
      </c>
    </row>
    <row r="53">
      <c r="A53" t="inlineStr">
        <is>
          <t>Map legend</t>
        </is>
      </c>
      <c r="B53" t="n">
        <v>4</v>
      </c>
      <c r="C53" t="inlineStr">
        <is>
          <t>T</t>
        </is>
      </c>
      <c r="D53" t="n">
        <v>14</v>
      </c>
      <c r="E53" t="n">
        <v>202</v>
      </c>
      <c r="F53" t="n">
        <v>196</v>
      </c>
      <c r="G53" t="n">
        <v>207</v>
      </c>
      <c r="H53" t="inlineStr">
        <is>
          <t>custom</t>
        </is>
      </c>
      <c r="I53" t="n">
        <v>10</v>
      </c>
      <c r="J53" t="n">
        <v>1</v>
      </c>
      <c r="K53" t="n">
        <v>0</v>
      </c>
      <c r="L53" t="n">
        <v>0</v>
      </c>
      <c r="N53" t="inlineStr">
        <is>
          <t>FFFFFF</t>
        </is>
      </c>
      <c r="O53" t="inlineStr">
        <is>
          <t>L</t>
        </is>
      </c>
      <c r="Q53" t="n">
        <v>2</v>
      </c>
      <c r="R53" t="b">
        <v>1</v>
      </c>
      <c r="T53" t="n">
        <v>0</v>
      </c>
    </row>
    <row r="54">
      <c r="A54" t="inlineStr">
        <is>
          <t>study region legend patch a</t>
        </is>
      </c>
      <c r="B54" t="n">
        <v>4</v>
      </c>
      <c r="C54" t="inlineStr">
        <is>
          <t>I</t>
        </is>
      </c>
      <c r="D54" t="n">
        <v>14</v>
      </c>
      <c r="E54" t="n">
        <v>210</v>
      </c>
      <c r="F54" t="n">
        <v>24</v>
      </c>
      <c r="G54" t="n">
        <v>220</v>
      </c>
      <c r="I54" t="n">
        <v>0</v>
      </c>
      <c r="J54" t="n">
        <v>0</v>
      </c>
      <c r="K54" t="n">
        <v>0</v>
      </c>
      <c r="L54" t="n">
        <v>0</v>
      </c>
      <c r="N54" t="inlineStr">
        <is>
          <t>FFFFFF</t>
        </is>
      </c>
      <c r="O54" t="inlineStr">
        <is>
          <t>L</t>
        </is>
      </c>
      <c r="P54" t="inlineStr">
        <is>
          <t>configuration/assets/study region legend patch a</t>
        </is>
      </c>
      <c r="Q54" t="n">
        <v>2</v>
      </c>
      <c r="R54" t="b">
        <v>0</v>
      </c>
      <c r="S54" t="inlineStr">
        <is>
          <t xml:space="preserve"> </t>
        </is>
      </c>
      <c r="T54" t="n">
        <v>0</v>
      </c>
    </row>
    <row r="55">
      <c r="A55" t="inlineStr">
        <is>
          <t>study region legend patch b</t>
        </is>
      </c>
      <c r="B55" t="n">
        <v>4</v>
      </c>
      <c r="C55" t="inlineStr">
        <is>
          <t>I</t>
        </is>
      </c>
      <c r="D55" t="n">
        <v>75</v>
      </c>
      <c r="E55" t="n">
        <v>210</v>
      </c>
      <c r="F55" t="n">
        <v>85</v>
      </c>
      <c r="G55" t="n">
        <v>220</v>
      </c>
      <c r="I55" t="n">
        <v>0</v>
      </c>
      <c r="J55" t="n">
        <v>0</v>
      </c>
      <c r="K55" t="n">
        <v>0</v>
      </c>
      <c r="L55" t="n">
        <v>0</v>
      </c>
      <c r="N55" t="inlineStr">
        <is>
          <t>FFFFFF</t>
        </is>
      </c>
      <c r="O55" t="inlineStr">
        <is>
          <t>L</t>
        </is>
      </c>
      <c r="P55" t="inlineStr">
        <is>
          <t>configuration/assets/study region legend patch b</t>
        </is>
      </c>
      <c r="Q55" t="n">
        <v>2</v>
      </c>
      <c r="R55" t="b">
        <v>0</v>
      </c>
      <c r="S55" t="inlineStr">
        <is>
          <t xml:space="preserve"> </t>
        </is>
      </c>
      <c r="T55" t="n">
        <v>0</v>
      </c>
    </row>
    <row r="56">
      <c r="A56" t="inlineStr">
        <is>
          <t>study region legend patch c</t>
        </is>
      </c>
      <c r="B56" t="n">
        <v>4</v>
      </c>
      <c r="C56" t="inlineStr">
        <is>
          <t>I</t>
        </is>
      </c>
      <c r="D56" t="n">
        <v>136</v>
      </c>
      <c r="E56" t="n">
        <v>210</v>
      </c>
      <c r="F56" t="n">
        <v>146</v>
      </c>
      <c r="G56" t="n">
        <v>220</v>
      </c>
      <c r="I56" t="n">
        <v>0</v>
      </c>
      <c r="J56" t="n">
        <v>0</v>
      </c>
      <c r="K56" t="n">
        <v>0</v>
      </c>
      <c r="L56" t="n">
        <v>0</v>
      </c>
      <c r="N56" t="inlineStr">
        <is>
          <t>FFFFFF</t>
        </is>
      </c>
      <c r="O56" t="inlineStr">
        <is>
          <t>L</t>
        </is>
      </c>
      <c r="P56" t="inlineStr">
        <is>
          <t>configuration/assets/study region legend patch c</t>
        </is>
      </c>
      <c r="Q56" t="n">
        <v>2</v>
      </c>
      <c r="R56" t="b">
        <v>0</v>
      </c>
      <c r="S56" t="inlineStr">
        <is>
          <t xml:space="preserve"> </t>
        </is>
      </c>
      <c r="T56" t="n">
        <v>0</v>
      </c>
    </row>
    <row r="57">
      <c r="A57" t="inlineStr">
        <is>
          <t>study region legend patch text a</t>
        </is>
      </c>
      <c r="B57" t="n">
        <v>4</v>
      </c>
      <c r="C57" t="inlineStr">
        <is>
          <t>T</t>
        </is>
      </c>
      <c r="D57" t="n">
        <v>14</v>
      </c>
      <c r="E57" t="n">
        <v>222</v>
      </c>
      <c r="F57" t="n">
        <v>70</v>
      </c>
      <c r="G57" t="n">
        <v>227</v>
      </c>
      <c r="H57" t="inlineStr">
        <is>
          <t>custom</t>
        </is>
      </c>
      <c r="I57" t="n">
        <v>10</v>
      </c>
      <c r="J57" t="n">
        <v>0</v>
      </c>
      <c r="K57" t="n">
        <v>0</v>
      </c>
      <c r="L57" t="n">
        <v>0</v>
      </c>
      <c r="N57" t="inlineStr">
        <is>
          <t>FFFFFF</t>
        </is>
      </c>
      <c r="O57" t="inlineStr">
        <is>
          <t>L</t>
        </is>
      </c>
      <c r="Q57" t="n">
        <v>2</v>
      </c>
      <c r="R57" t="b">
        <v>1</v>
      </c>
      <c r="T57" t="n">
        <v>0</v>
      </c>
    </row>
    <row r="58">
      <c r="A58" t="inlineStr">
        <is>
          <t>study region legend patch text b</t>
        </is>
      </c>
      <c r="B58" t="n">
        <v>4</v>
      </c>
      <c r="C58" t="inlineStr">
        <is>
          <t>T</t>
        </is>
      </c>
      <c r="D58" t="n">
        <v>75</v>
      </c>
      <c r="E58" t="n">
        <v>222</v>
      </c>
      <c r="F58" t="n">
        <v>131</v>
      </c>
      <c r="G58" t="n">
        <v>227</v>
      </c>
      <c r="H58" t="inlineStr">
        <is>
          <t>custom</t>
        </is>
      </c>
      <c r="I58" t="n">
        <v>10</v>
      </c>
      <c r="J58" t="n">
        <v>0</v>
      </c>
      <c r="K58" t="n">
        <v>0</v>
      </c>
      <c r="L58" t="n">
        <v>0</v>
      </c>
      <c r="N58" t="inlineStr">
        <is>
          <t>FFFFFF</t>
        </is>
      </c>
      <c r="O58" t="inlineStr">
        <is>
          <t>L</t>
        </is>
      </c>
      <c r="Q58" t="n">
        <v>2</v>
      </c>
      <c r="R58" t="b">
        <v>1</v>
      </c>
      <c r="T58" t="n">
        <v>0</v>
      </c>
    </row>
    <row r="59">
      <c r="A59" t="inlineStr">
        <is>
          <t>study region legend patch text c</t>
        </is>
      </c>
      <c r="B59" t="n">
        <v>4</v>
      </c>
      <c r="C59" t="inlineStr">
        <is>
          <t>T</t>
        </is>
      </c>
      <c r="D59" t="n">
        <v>136</v>
      </c>
      <c r="E59" t="n">
        <v>222</v>
      </c>
      <c r="F59" t="n">
        <v>196</v>
      </c>
      <c r="G59" t="n">
        <v>227</v>
      </c>
      <c r="H59" t="inlineStr">
        <is>
          <t>custom</t>
        </is>
      </c>
      <c r="I59" t="n">
        <v>10</v>
      </c>
      <c r="J59" t="n">
        <v>0</v>
      </c>
      <c r="K59" t="n">
        <v>0</v>
      </c>
      <c r="L59" t="n">
        <v>0</v>
      </c>
      <c r="N59" t="inlineStr">
        <is>
          <t>FFFFFF</t>
        </is>
      </c>
      <c r="O59" t="inlineStr">
        <is>
          <t>L</t>
        </is>
      </c>
      <c r="Q59" t="n">
        <v>2</v>
      </c>
      <c r="R59" t="b">
        <v>1</v>
      </c>
      <c r="T59" t="n">
        <v>0</v>
      </c>
    </row>
    <row r="60">
      <c r="A60" t="inlineStr">
        <is>
          <t>policy indicators</t>
        </is>
      </c>
      <c r="B60" t="n">
        <v>5</v>
      </c>
      <c r="C60" t="inlineStr">
        <is>
          <t>T</t>
        </is>
      </c>
      <c r="D60" t="n">
        <v>14</v>
      </c>
      <c r="E60" t="n">
        <v>20</v>
      </c>
      <c r="F60" t="n">
        <v>196</v>
      </c>
      <c r="G60" t="n">
        <v>25</v>
      </c>
      <c r="H60" t="inlineStr">
        <is>
          <t>custom</t>
        </is>
      </c>
      <c r="I60" t="n">
        <v>14</v>
      </c>
      <c r="J60" t="n">
        <v>1</v>
      </c>
      <c r="K60" t="n">
        <v>0</v>
      </c>
      <c r="L60" t="n">
        <v>0</v>
      </c>
      <c r="N60" t="inlineStr">
        <is>
          <t>FFFFFF</t>
        </is>
      </c>
      <c r="O60" t="inlineStr">
        <is>
          <t>L</t>
        </is>
      </c>
      <c r="Q60" t="n">
        <v>3</v>
      </c>
      <c r="R60" t="b">
        <v>1</v>
      </c>
      <c r="S60" t="inlineStr">
        <is>
          <t xml:space="preserve"> </t>
        </is>
      </c>
      <c r="T60" t="n">
        <v>0</v>
      </c>
    </row>
    <row r="61">
      <c r="A61" t="inlineStr">
        <is>
          <t>policy_evaluation_text</t>
        </is>
      </c>
      <c r="B61" t="n">
        <v>5</v>
      </c>
      <c r="C61" t="inlineStr">
        <is>
          <t>T</t>
        </is>
      </c>
      <c r="D61" t="n">
        <v>14</v>
      </c>
      <c r="E61" t="n">
        <v>33</v>
      </c>
      <c r="F61" t="n">
        <v>196</v>
      </c>
      <c r="G61" t="n">
        <v>38</v>
      </c>
      <c r="H61" t="inlineStr">
        <is>
          <t>custom</t>
        </is>
      </c>
      <c r="I61" t="n">
        <v>12</v>
      </c>
      <c r="J61" t="n">
        <v>0</v>
      </c>
      <c r="K61" t="n">
        <v>0</v>
      </c>
      <c r="L61" t="n">
        <v>0</v>
      </c>
      <c r="N61" t="inlineStr">
        <is>
          <t>FFFFFF</t>
        </is>
      </c>
      <c r="O61" t="inlineStr">
        <is>
          <t>L</t>
        </is>
      </c>
      <c r="Q61" t="n">
        <v>3</v>
      </c>
      <c r="R61" t="b">
        <v>1</v>
      </c>
      <c r="S61" t="inlineStr">
        <is>
          <t xml:space="preserve"> </t>
        </is>
      </c>
      <c r="T61" t="n">
        <v>0</v>
      </c>
    </row>
    <row r="62">
      <c r="A62" t="inlineStr">
        <is>
          <t>presence box</t>
        </is>
      </c>
      <c r="B62" t="n">
        <v>5</v>
      </c>
      <c r="C62" t="inlineStr">
        <is>
          <t>B</t>
        </is>
      </c>
      <c r="D62" t="n">
        <v>30</v>
      </c>
      <c r="E62" t="n">
        <v>85</v>
      </c>
      <c r="F62" t="n">
        <v>170</v>
      </c>
      <c r="G62" t="n">
        <v>152</v>
      </c>
      <c r="I62" t="n">
        <v>0</v>
      </c>
      <c r="J62" t="n">
        <v>1</v>
      </c>
      <c r="K62" t="n">
        <v>0</v>
      </c>
      <c r="L62" t="n">
        <v>0</v>
      </c>
      <c r="M62" t="inlineStr">
        <is>
          <t>eceaf8</t>
        </is>
      </c>
      <c r="N62" t="inlineStr">
        <is>
          <t>eceaf8</t>
        </is>
      </c>
      <c r="O62" t="inlineStr">
        <is>
          <t>L</t>
        </is>
      </c>
      <c r="Q62" t="n">
        <v>1</v>
      </c>
      <c r="R62" t="b">
        <v>0</v>
      </c>
      <c r="S62" t="inlineStr">
        <is>
          <t xml:space="preserve"> </t>
        </is>
      </c>
      <c r="T62" t="n">
        <v>0</v>
      </c>
    </row>
    <row r="63">
      <c r="A63" t="inlineStr">
        <is>
          <t>presence_text</t>
        </is>
      </c>
      <c r="B63" t="n">
        <v>5</v>
      </c>
      <c r="C63" t="inlineStr">
        <is>
          <t>T</t>
        </is>
      </c>
      <c r="D63" t="n">
        <v>40</v>
      </c>
      <c r="E63" t="n">
        <v>93</v>
      </c>
      <c r="F63" t="n">
        <v>160</v>
      </c>
      <c r="G63" t="n">
        <v>98</v>
      </c>
      <c r="H63" t="inlineStr">
        <is>
          <t>custom</t>
        </is>
      </c>
      <c r="I63" t="n">
        <v>16</v>
      </c>
      <c r="J63" t="n">
        <v>1</v>
      </c>
      <c r="K63" t="n">
        <v>0</v>
      </c>
      <c r="L63" t="n">
        <v>0</v>
      </c>
      <c r="N63" t="inlineStr">
        <is>
          <t>eceaf8</t>
        </is>
      </c>
      <c r="O63" t="inlineStr">
        <is>
          <t>C</t>
        </is>
      </c>
      <c r="Q63" t="n">
        <v>3</v>
      </c>
      <c r="R63" t="b">
        <v>1</v>
      </c>
      <c r="S63" t="inlineStr">
        <is>
          <t xml:space="preserve"> </t>
        </is>
      </c>
      <c r="T63" t="n">
        <v>0</v>
      </c>
    </row>
    <row r="64">
      <c r="A64" t="inlineStr">
        <is>
          <t>presence_description</t>
        </is>
      </c>
      <c r="B64" t="n">
        <v>5</v>
      </c>
      <c r="C64" t="inlineStr">
        <is>
          <t>T</t>
        </is>
      </c>
      <c r="D64" t="n">
        <v>40</v>
      </c>
      <c r="E64" t="n">
        <v>106</v>
      </c>
      <c r="F64" t="n">
        <v>160</v>
      </c>
      <c r="G64" t="n">
        <v>114</v>
      </c>
      <c r="H64" t="inlineStr">
        <is>
          <t>custom</t>
        </is>
      </c>
      <c r="I64" t="n">
        <v>16</v>
      </c>
      <c r="J64" t="n">
        <v>0</v>
      </c>
      <c r="K64" t="n">
        <v>1</v>
      </c>
      <c r="L64" t="n">
        <v>0</v>
      </c>
      <c r="N64" t="inlineStr">
        <is>
          <t>eceaf8</t>
        </is>
      </c>
      <c r="O64" t="inlineStr">
        <is>
          <t>C</t>
        </is>
      </c>
      <c r="Q64" t="n">
        <v>2</v>
      </c>
      <c r="R64" t="b">
        <v>1</v>
      </c>
      <c r="S64" t="inlineStr">
        <is>
          <t xml:space="preserve"> </t>
        </is>
      </c>
      <c r="T64" t="n">
        <v>0</v>
      </c>
    </row>
    <row r="65">
      <c r="A65" t="inlineStr">
        <is>
          <t>presence_rating</t>
        </is>
      </c>
      <c r="B65" t="n">
        <v>5</v>
      </c>
      <c r="C65" t="inlineStr">
        <is>
          <t>T</t>
        </is>
      </c>
      <c r="D65" t="n">
        <v>40</v>
      </c>
      <c r="E65" t="n">
        <v>134</v>
      </c>
      <c r="F65" t="n">
        <v>160</v>
      </c>
      <c r="G65" t="n">
        <v>140</v>
      </c>
      <c r="H65" t="inlineStr">
        <is>
          <t>custom</t>
        </is>
      </c>
      <c r="I65" t="n">
        <v>20</v>
      </c>
      <c r="J65" t="n">
        <v>1</v>
      </c>
      <c r="K65" t="n">
        <v>0</v>
      </c>
      <c r="L65" t="n">
        <v>0</v>
      </c>
      <c r="N65" t="inlineStr">
        <is>
          <t>eceaf8</t>
        </is>
      </c>
      <c r="O65" t="inlineStr">
        <is>
          <t>C</t>
        </is>
      </c>
      <c r="P65" t="inlineStr">
        <is>
          <t xml:space="preserve">{presence}/{n} ({percent}) </t>
        </is>
      </c>
      <c r="Q65" t="n">
        <v>3</v>
      </c>
      <c r="R65" t="b">
        <v>1</v>
      </c>
      <c r="S65" t="inlineStr">
        <is>
          <t xml:space="preserve"> </t>
        </is>
      </c>
      <c r="T65" t="n">
        <v>0</v>
      </c>
    </row>
    <row r="66">
      <c r="A66" t="inlineStr">
        <is>
          <t>quality box</t>
        </is>
      </c>
      <c r="B66" t="n">
        <v>5</v>
      </c>
      <c r="C66" t="inlineStr">
        <is>
          <t>B</t>
        </is>
      </c>
      <c r="D66" t="n">
        <v>30</v>
      </c>
      <c r="E66" t="n">
        <v>182</v>
      </c>
      <c r="F66" t="n">
        <v>170</v>
      </c>
      <c r="G66" t="n">
        <v>249</v>
      </c>
      <c r="I66" t="n">
        <v>0</v>
      </c>
      <c r="J66" t="n">
        <v>1</v>
      </c>
      <c r="K66" t="n">
        <v>0</v>
      </c>
      <c r="L66" t="n">
        <v>0</v>
      </c>
      <c r="M66" t="inlineStr">
        <is>
          <t>faf0f6</t>
        </is>
      </c>
      <c r="N66" t="inlineStr">
        <is>
          <t>faf0f6</t>
        </is>
      </c>
      <c r="O66" t="inlineStr">
        <is>
          <t>L</t>
        </is>
      </c>
      <c r="Q66" t="n">
        <v>1</v>
      </c>
      <c r="R66" t="b">
        <v>0</v>
      </c>
      <c r="S66" t="inlineStr">
        <is>
          <t xml:space="preserve"> </t>
        </is>
      </c>
      <c r="T66" t="n">
        <v>0</v>
      </c>
    </row>
    <row r="67">
      <c r="A67" t="inlineStr">
        <is>
          <t>quality_text</t>
        </is>
      </c>
      <c r="B67" t="n">
        <v>5</v>
      </c>
      <c r="C67" t="inlineStr">
        <is>
          <t>T</t>
        </is>
      </c>
      <c r="D67" t="n">
        <v>40</v>
      </c>
      <c r="E67" t="n">
        <v>190</v>
      </c>
      <c r="F67" t="n">
        <v>160</v>
      </c>
      <c r="G67" t="n">
        <v>195</v>
      </c>
      <c r="H67" t="inlineStr">
        <is>
          <t>custom</t>
        </is>
      </c>
      <c r="I67" t="n">
        <v>16</v>
      </c>
      <c r="J67" t="n">
        <v>1</v>
      </c>
      <c r="K67" t="n">
        <v>0</v>
      </c>
      <c r="L67" t="n">
        <v>0</v>
      </c>
      <c r="N67" t="inlineStr">
        <is>
          <t>faf0f6</t>
        </is>
      </c>
      <c r="O67" t="inlineStr">
        <is>
          <t>C</t>
        </is>
      </c>
      <c r="Q67" t="n">
        <v>3</v>
      </c>
      <c r="R67" t="b">
        <v>1</v>
      </c>
      <c r="S67" t="inlineStr">
        <is>
          <t xml:space="preserve"> </t>
        </is>
      </c>
      <c r="T67" t="n">
        <v>0</v>
      </c>
    </row>
    <row r="68">
      <c r="A68" t="inlineStr">
        <is>
          <t>quality_description</t>
        </is>
      </c>
      <c r="B68" t="n">
        <v>5</v>
      </c>
      <c r="C68" t="inlineStr">
        <is>
          <t>T</t>
        </is>
      </c>
      <c r="D68" t="n">
        <v>40</v>
      </c>
      <c r="E68" t="n">
        <v>203</v>
      </c>
      <c r="F68" t="n">
        <v>160</v>
      </c>
      <c r="G68" t="n">
        <v>211</v>
      </c>
      <c r="H68" t="inlineStr">
        <is>
          <t>custom</t>
        </is>
      </c>
      <c r="I68" t="n">
        <v>16</v>
      </c>
      <c r="J68" t="n">
        <v>0</v>
      </c>
      <c r="K68" t="n">
        <v>1</v>
      </c>
      <c r="L68" t="n">
        <v>0</v>
      </c>
      <c r="N68" t="inlineStr">
        <is>
          <t>faf0f6</t>
        </is>
      </c>
      <c r="O68" t="inlineStr">
        <is>
          <t>C</t>
        </is>
      </c>
      <c r="Q68" t="n">
        <v>2</v>
      </c>
      <c r="R68" t="b">
        <v>1</v>
      </c>
      <c r="S68" t="inlineStr">
        <is>
          <t xml:space="preserve"> </t>
        </is>
      </c>
      <c r="T68" t="n">
        <v>0</v>
      </c>
    </row>
    <row r="69">
      <c r="A69" t="inlineStr">
        <is>
          <t>quality_rating</t>
        </is>
      </c>
      <c r="B69" t="n">
        <v>5</v>
      </c>
      <c r="C69" t="inlineStr">
        <is>
          <t>T</t>
        </is>
      </c>
      <c r="D69" t="n">
        <v>40</v>
      </c>
      <c r="E69" t="n">
        <v>231</v>
      </c>
      <c r="F69" t="n">
        <v>160</v>
      </c>
      <c r="G69" t="n">
        <v>237</v>
      </c>
      <c r="H69" t="inlineStr">
        <is>
          <t>custom</t>
        </is>
      </c>
      <c r="I69" t="n">
        <v>20</v>
      </c>
      <c r="J69" t="n">
        <v>1</v>
      </c>
      <c r="K69" t="n">
        <v>0</v>
      </c>
      <c r="L69" t="n">
        <v>0</v>
      </c>
      <c r="N69" t="inlineStr">
        <is>
          <t>faf0f6</t>
        </is>
      </c>
      <c r="O69" t="inlineStr">
        <is>
          <t>C</t>
        </is>
      </c>
      <c r="P69" t="inlineStr">
        <is>
          <t xml:space="preserve">{quality}/{n} ({percent}) </t>
        </is>
      </c>
      <c r="Q69" t="n">
        <v>3</v>
      </c>
      <c r="R69" t="b">
        <v>1</v>
      </c>
      <c r="S69" t="inlineStr">
        <is>
          <t xml:space="preserve"> </t>
        </is>
      </c>
      <c r="T69" t="n">
        <v>0</v>
      </c>
    </row>
    <row r="70">
      <c r="A70" t="inlineStr">
        <is>
          <t>25 city study box</t>
        </is>
      </c>
      <c r="B70" t="n">
        <v>6</v>
      </c>
      <c r="C70" t="inlineStr">
        <is>
          <t>B</t>
        </is>
      </c>
      <c r="D70" t="n">
        <v>14</v>
      </c>
      <c r="E70" t="n">
        <v>45</v>
      </c>
      <c r="F70" t="n">
        <v>196</v>
      </c>
      <c r="G70" t="n">
        <v>244</v>
      </c>
      <c r="I70" t="n">
        <v>0</v>
      </c>
      <c r="J70" t="n">
        <v>0</v>
      </c>
      <c r="K70" t="n">
        <v>0</v>
      </c>
      <c r="L70" t="n">
        <v>0</v>
      </c>
      <c r="N70" t="inlineStr">
        <is>
          <t>FFFFFF</t>
        </is>
      </c>
      <c r="O70" t="inlineStr">
        <is>
          <t>L</t>
        </is>
      </c>
      <c r="Q70" t="n">
        <v>1</v>
      </c>
      <c r="R70" t="b">
        <v>0</v>
      </c>
      <c r="S70" t="inlineStr">
        <is>
          <t xml:space="preserve"> </t>
        </is>
      </c>
      <c r="T70" t="n">
        <v>0</v>
      </c>
    </row>
    <row r="71">
      <c r="A71" t="inlineStr">
        <is>
          <t>25 city study header</t>
        </is>
      </c>
      <c r="B71" t="n">
        <v>6</v>
      </c>
      <c r="C71" t="inlineStr">
        <is>
          <t>T</t>
        </is>
      </c>
      <c r="D71" t="n">
        <v>20</v>
      </c>
      <c r="E71" t="n">
        <v>51</v>
      </c>
      <c r="F71" t="n">
        <v>194</v>
      </c>
      <c r="G71" t="n">
        <v>56</v>
      </c>
      <c r="H71" t="inlineStr">
        <is>
          <t>custom</t>
        </is>
      </c>
      <c r="I71" t="n">
        <v>12</v>
      </c>
      <c r="J71" t="n">
        <v>1</v>
      </c>
      <c r="K71" t="n">
        <v>0</v>
      </c>
      <c r="L71" t="n">
        <v>0</v>
      </c>
      <c r="N71" t="inlineStr">
        <is>
          <t>FFFFFF</t>
        </is>
      </c>
      <c r="O71" t="inlineStr">
        <is>
          <t>L</t>
        </is>
      </c>
      <c r="Q71" t="n">
        <v>2</v>
      </c>
      <c r="R71" t="b">
        <v>1</v>
      </c>
      <c r="S71" t="inlineStr">
        <is>
          <t xml:space="preserve"> </t>
        </is>
      </c>
      <c r="T71" t="n">
        <v>0</v>
      </c>
    </row>
    <row r="72">
      <c r="A72" t="inlineStr">
        <is>
          <t>25 city study</t>
        </is>
      </c>
      <c r="B72" t="n">
        <v>6</v>
      </c>
      <c r="C72" t="inlineStr">
        <is>
          <t>T</t>
        </is>
      </c>
      <c r="D72" t="n">
        <v>20</v>
      </c>
      <c r="E72" t="n">
        <v>64</v>
      </c>
      <c r="F72" t="n">
        <v>194</v>
      </c>
      <c r="G72" t="n">
        <v>69</v>
      </c>
      <c r="H72" t="inlineStr">
        <is>
          <t>custom</t>
        </is>
      </c>
      <c r="I72" t="n">
        <v>12</v>
      </c>
      <c r="J72" t="n">
        <v>0</v>
      </c>
      <c r="K72" t="n">
        <v>0</v>
      </c>
      <c r="L72" t="n">
        <v>0</v>
      </c>
      <c r="N72" t="inlineStr">
        <is>
          <t>FFFFFF</t>
        </is>
      </c>
      <c r="O72" t="inlineStr">
        <is>
          <t>L</t>
        </is>
      </c>
      <c r="P72" s="1" t="n"/>
      <c r="Q72" t="n">
        <v>1</v>
      </c>
      <c r="R72" t="b">
        <v>1</v>
      </c>
      <c r="S72" t="inlineStr">
        <is>
          <t xml:space="preserve"> </t>
        </is>
      </c>
      <c r="T72" t="n">
        <v>0</v>
      </c>
    </row>
    <row r="73">
      <c r="A73" t="inlineStr">
        <is>
          <t>25 global cities</t>
        </is>
      </c>
      <c r="B73" t="n">
        <v>6</v>
      </c>
      <c r="C73" t="inlineStr">
        <is>
          <t>I</t>
        </is>
      </c>
      <c r="D73" t="n">
        <v>14</v>
      </c>
      <c r="E73" t="n">
        <v>130</v>
      </c>
      <c r="F73" t="n">
        <v>196</v>
      </c>
      <c r="G73" t="n">
        <v>225</v>
      </c>
      <c r="I73" t="n">
        <v>0</v>
      </c>
      <c r="J73" t="n">
        <v>0</v>
      </c>
      <c r="K73" t="n">
        <v>0</v>
      </c>
      <c r="L73" t="n">
        <v>0</v>
      </c>
      <c r="N73" t="inlineStr">
        <is>
          <t>FFFFFF</t>
        </is>
      </c>
      <c r="O73" t="inlineStr">
        <is>
          <t>L</t>
        </is>
      </c>
      <c r="P73" s="1" t="inlineStr">
        <is>
          <t>configuration/assets/25 city global map.svg</t>
        </is>
      </c>
      <c r="Q73" t="n">
        <v>1</v>
      </c>
      <c r="R73" t="b">
        <v>1</v>
      </c>
      <c r="S73" t="inlineStr">
        <is>
          <t xml:space="preserve"> </t>
        </is>
      </c>
      <c r="T73" t="n">
        <v>0</v>
      </c>
    </row>
    <row r="74">
      <c r="A74" t="inlineStr">
        <is>
          <t>Low</t>
        </is>
      </c>
      <c r="B74" t="n">
        <v>6</v>
      </c>
      <c r="C74" t="inlineStr">
        <is>
          <t>T</t>
        </is>
      </c>
      <c r="D74" t="n">
        <v>78</v>
      </c>
      <c r="E74" t="n">
        <v>223</v>
      </c>
      <c r="F74" t="n">
        <v>102</v>
      </c>
      <c r="G74" t="n">
        <v>226</v>
      </c>
      <c r="H74" t="inlineStr">
        <is>
          <t>custom</t>
        </is>
      </c>
      <c r="I74" t="n">
        <v>8</v>
      </c>
      <c r="J74" t="n">
        <v>0</v>
      </c>
      <c r="K74" t="n">
        <v>0</v>
      </c>
      <c r="L74" t="n">
        <v>0</v>
      </c>
      <c r="M74" t="inlineStr">
        <is>
          <t>584b9f</t>
        </is>
      </c>
      <c r="O74" t="inlineStr">
        <is>
          <t>L</t>
        </is>
      </c>
      <c r="Q74" t="n">
        <v>3</v>
      </c>
      <c r="R74" t="b">
        <v>1</v>
      </c>
      <c r="T74" t="n">
        <v>0</v>
      </c>
    </row>
    <row r="75">
      <c r="A75" t="inlineStr">
        <is>
          <t>High</t>
        </is>
      </c>
      <c r="B75" t="n">
        <v>6</v>
      </c>
      <c r="C75" t="inlineStr">
        <is>
          <t>T</t>
        </is>
      </c>
      <c r="D75" t="n">
        <v>114</v>
      </c>
      <c r="E75" t="n">
        <v>223</v>
      </c>
      <c r="F75" t="n">
        <v>129</v>
      </c>
      <c r="G75" t="n">
        <v>226</v>
      </c>
      <c r="H75" t="inlineStr">
        <is>
          <t>custom</t>
        </is>
      </c>
      <c r="I75" t="n">
        <v>8</v>
      </c>
      <c r="J75" t="n">
        <v>0</v>
      </c>
      <c r="K75" t="n">
        <v>0</v>
      </c>
      <c r="L75" t="n">
        <v>0</v>
      </c>
      <c r="M75" t="inlineStr">
        <is>
          <t>584b9f</t>
        </is>
      </c>
      <c r="O75" t="inlineStr">
        <is>
          <t>R</t>
        </is>
      </c>
      <c r="Q75" t="n">
        <v>3</v>
      </c>
      <c r="R75" t="b">
        <v>1</v>
      </c>
      <c r="T75" t="n">
        <v>0</v>
      </c>
    </row>
    <row r="76">
      <c r="A76" t="inlineStr">
        <is>
          <t>Neighbourhood walkability relative to 25 cities internationally</t>
        </is>
      </c>
      <c r="B76" t="n">
        <v>6</v>
      </c>
      <c r="C76" t="inlineStr">
        <is>
          <t>T</t>
        </is>
      </c>
      <c r="D76" t="n">
        <v>66</v>
      </c>
      <c r="E76" t="n">
        <v>228</v>
      </c>
      <c r="F76" t="n">
        <v>141</v>
      </c>
      <c r="G76" t="n">
        <v>231</v>
      </c>
      <c r="H76" t="inlineStr">
        <is>
          <t>custom</t>
        </is>
      </c>
      <c r="I76" t="n">
        <v>8</v>
      </c>
      <c r="J76" t="n">
        <v>0</v>
      </c>
      <c r="K76" t="n">
        <v>1</v>
      </c>
      <c r="L76" t="n">
        <v>0</v>
      </c>
      <c r="M76" t="inlineStr">
        <is>
          <t>584b9f</t>
        </is>
      </c>
      <c r="O76" t="inlineStr">
        <is>
          <t>C</t>
        </is>
      </c>
      <c r="Q76" t="n">
        <v>3</v>
      </c>
      <c r="R76" t="b">
        <v>1</v>
      </c>
      <c r="T76" t="n">
        <v>0</v>
      </c>
    </row>
    <row r="77">
      <c r="A77" t="inlineStr">
        <is>
          <t>25 city study legend box</t>
        </is>
      </c>
      <c r="B77" t="n">
        <v>6</v>
      </c>
      <c r="C77" t="inlineStr">
        <is>
          <t>B</t>
        </is>
      </c>
      <c r="D77" t="n">
        <v>64</v>
      </c>
      <c r="E77" t="n">
        <v>214</v>
      </c>
      <c r="F77" t="n">
        <v>143</v>
      </c>
      <c r="G77" t="n">
        <v>236</v>
      </c>
      <c r="I77" t="n">
        <v>0</v>
      </c>
      <c r="J77" t="n">
        <v>0</v>
      </c>
      <c r="K77" t="n">
        <v>0</v>
      </c>
      <c r="L77" t="n">
        <v>0</v>
      </c>
      <c r="O77" t="inlineStr">
        <is>
          <t>L</t>
        </is>
      </c>
      <c r="Q77" t="n">
        <v>1</v>
      </c>
      <c r="R77" t="b">
        <v>0</v>
      </c>
      <c r="S77" t="inlineStr">
        <is>
          <t xml:space="preserve"> </t>
        </is>
      </c>
      <c r="T77" t="n">
        <v>0</v>
      </c>
    </row>
    <row r="78">
      <c r="A78" t="inlineStr">
        <is>
          <t>Integrated city planning policies for health and sustainability</t>
        </is>
      </c>
      <c r="B78" t="n">
        <v>7</v>
      </c>
      <c r="C78" t="inlineStr">
        <is>
          <t>T</t>
        </is>
      </c>
      <c r="D78" t="n">
        <v>14</v>
      </c>
      <c r="E78" t="n">
        <v>20</v>
      </c>
      <c r="F78" t="n">
        <v>196</v>
      </c>
      <c r="G78" t="n">
        <v>25</v>
      </c>
      <c r="H78" t="inlineStr">
        <is>
          <t>custom</t>
        </is>
      </c>
      <c r="I78" t="n">
        <v>14</v>
      </c>
      <c r="J78" t="n">
        <v>1</v>
      </c>
      <c r="K78" t="n">
        <v>0</v>
      </c>
      <c r="L78" t="n">
        <v>0</v>
      </c>
      <c r="N78" t="inlineStr">
        <is>
          <t>FFFFFF</t>
        </is>
      </c>
      <c r="O78" t="inlineStr">
        <is>
          <t>L</t>
        </is>
      </c>
      <c r="Q78" t="n">
        <v>3</v>
      </c>
      <c r="R78" t="b">
        <v>1</v>
      </c>
      <c r="S78" t="inlineStr">
        <is>
          <t xml:space="preserve"> </t>
        </is>
      </c>
      <c r="T78" t="n">
        <v>0</v>
      </c>
    </row>
    <row r="79">
      <c r="A79" t="inlineStr">
        <is>
          <t>Integrated city planning text</t>
        </is>
      </c>
      <c r="B79" t="n">
        <v>7</v>
      </c>
      <c r="C79" t="inlineStr">
        <is>
          <t>T</t>
        </is>
      </c>
      <c r="D79" t="n">
        <v>14</v>
      </c>
      <c r="E79" t="n">
        <v>33</v>
      </c>
      <c r="F79" t="n">
        <v>196</v>
      </c>
      <c r="G79" t="n">
        <v>38</v>
      </c>
      <c r="H79" t="inlineStr">
        <is>
          <t>custom</t>
        </is>
      </c>
      <c r="I79" t="n">
        <v>12</v>
      </c>
      <c r="J79" t="n">
        <v>0</v>
      </c>
      <c r="K79" t="n">
        <v>0</v>
      </c>
      <c r="L79" t="n">
        <v>0</v>
      </c>
      <c r="N79" t="inlineStr">
        <is>
          <t>FFFFFF</t>
        </is>
      </c>
      <c r="O79" t="inlineStr">
        <is>
          <t>L</t>
        </is>
      </c>
      <c r="Q79" t="n">
        <v>3</v>
      </c>
      <c r="R79" t="b">
        <v>1</v>
      </c>
      <c r="T79" t="n">
        <v>0</v>
      </c>
    </row>
    <row r="80">
      <c r="A80" t="inlineStr">
        <is>
          <t>policy_box_checklist1</t>
        </is>
      </c>
      <c r="B80" t="n">
        <v>7</v>
      </c>
      <c r="C80" t="inlineStr">
        <is>
          <t>B</t>
        </is>
      </c>
      <c r="D80" t="n">
        <v>0</v>
      </c>
      <c r="E80" t="n">
        <v>85</v>
      </c>
      <c r="F80" t="n">
        <v>210</v>
      </c>
      <c r="G80" t="n">
        <v>198</v>
      </c>
      <c r="I80" t="n">
        <v>0</v>
      </c>
      <c r="J80" t="n">
        <v>1</v>
      </c>
      <c r="K80" t="n">
        <v>0</v>
      </c>
      <c r="L80" t="n">
        <v>0</v>
      </c>
      <c r="M80" t="inlineStr">
        <is>
          <t>d0d8dd</t>
        </is>
      </c>
      <c r="N80" t="inlineStr">
        <is>
          <t>d0d8dd</t>
        </is>
      </c>
      <c r="O80" t="inlineStr">
        <is>
          <t>L</t>
        </is>
      </c>
      <c r="Q80" t="n">
        <v>1</v>
      </c>
      <c r="R80" t="b">
        <v>0</v>
      </c>
      <c r="S80" t="inlineStr">
        <is>
          <t xml:space="preserve"> </t>
        </is>
      </c>
      <c r="T80" t="n">
        <v>0</v>
      </c>
    </row>
    <row r="81">
      <c r="A81" t="inlineStr">
        <is>
          <t>policy_checklist1_title</t>
        </is>
      </c>
      <c r="B81" t="n">
        <v>7</v>
      </c>
      <c r="C81" t="inlineStr">
        <is>
          <t>T</t>
        </is>
      </c>
      <c r="D81" t="n">
        <v>14</v>
      </c>
      <c r="E81" t="n">
        <v>90</v>
      </c>
      <c r="F81" t="n">
        <v>196</v>
      </c>
      <c r="G81" t="n">
        <v>93</v>
      </c>
      <c r="H81" t="inlineStr">
        <is>
          <t>custom</t>
        </is>
      </c>
      <c r="I81" t="n">
        <v>12</v>
      </c>
      <c r="J81" t="n">
        <v>1</v>
      </c>
      <c r="K81" t="n">
        <v>0</v>
      </c>
      <c r="L81" t="n">
        <v>0</v>
      </c>
      <c r="N81" t="inlineStr">
        <is>
          <t>d0d8dd</t>
        </is>
      </c>
      <c r="O81" t="inlineStr">
        <is>
          <t>L</t>
        </is>
      </c>
      <c r="Q81" t="n">
        <v>3</v>
      </c>
      <c r="R81" t="b">
        <v>0</v>
      </c>
      <c r="S81" t="inlineStr">
        <is>
          <t xml:space="preserve"> </t>
        </is>
      </c>
      <c r="T81" t="n">
        <v>0</v>
      </c>
    </row>
    <row r="82">
      <c r="A82" t="inlineStr">
        <is>
          <t>policy_checklist_header1</t>
        </is>
      </c>
      <c r="B82" t="n">
        <v>7</v>
      </c>
      <c r="C82" t="inlineStr">
        <is>
          <t>T</t>
        </is>
      </c>
      <c r="D82" t="n">
        <v>113</v>
      </c>
      <c r="E82" t="n">
        <v>87</v>
      </c>
      <c r="F82" t="n">
        <v>140</v>
      </c>
      <c r="G82" t="n">
        <v>92</v>
      </c>
      <c r="H82" t="inlineStr">
        <is>
          <t>custom</t>
        </is>
      </c>
      <c r="I82" t="n">
        <v>10</v>
      </c>
      <c r="J82" t="n">
        <v>1</v>
      </c>
      <c r="K82" t="n">
        <v>0</v>
      </c>
      <c r="L82" t="n">
        <v>0</v>
      </c>
      <c r="N82" t="inlineStr">
        <is>
          <t>d0d8dd</t>
        </is>
      </c>
      <c r="O82" t="inlineStr">
        <is>
          <t>C</t>
        </is>
      </c>
      <c r="Q82" t="n">
        <v>3</v>
      </c>
      <c r="R82" t="b">
        <v>1</v>
      </c>
      <c r="S82" t="inlineStr">
        <is>
          <t xml:space="preserve"> </t>
        </is>
      </c>
      <c r="T82" t="n">
        <v>0</v>
      </c>
    </row>
    <row r="83">
      <c r="A83" t="inlineStr">
        <is>
          <t>policy_checklist_header2</t>
        </is>
      </c>
      <c r="B83" t="n">
        <v>7</v>
      </c>
      <c r="C83" t="inlineStr">
        <is>
          <t>T</t>
        </is>
      </c>
      <c r="D83" t="n">
        <v>140</v>
      </c>
      <c r="E83" t="n">
        <v>87</v>
      </c>
      <c r="F83" t="n">
        <v>169</v>
      </c>
      <c r="G83" t="n">
        <v>92</v>
      </c>
      <c r="H83" t="inlineStr">
        <is>
          <t>custom</t>
        </is>
      </c>
      <c r="I83" t="n">
        <v>10</v>
      </c>
      <c r="J83" t="n">
        <v>1</v>
      </c>
      <c r="K83" t="n">
        <v>0</v>
      </c>
      <c r="L83" t="n">
        <v>0</v>
      </c>
      <c r="N83" t="inlineStr">
        <is>
          <t>d0d8dd</t>
        </is>
      </c>
      <c r="O83" t="inlineStr">
        <is>
          <t>C</t>
        </is>
      </c>
      <c r="Q83" t="n">
        <v>3</v>
      </c>
      <c r="R83" t="b">
        <v>1</v>
      </c>
      <c r="S83" t="inlineStr">
        <is>
          <t xml:space="preserve"> </t>
        </is>
      </c>
      <c r="T83" t="n">
        <v>0</v>
      </c>
    </row>
    <row r="84">
      <c r="A84" t="inlineStr">
        <is>
          <t>policy_checklist_header3</t>
        </is>
      </c>
      <c r="B84" t="n">
        <v>7</v>
      </c>
      <c r="C84" t="inlineStr">
        <is>
          <t>T</t>
        </is>
      </c>
      <c r="D84" t="n">
        <v>168</v>
      </c>
      <c r="E84" t="n">
        <v>87</v>
      </c>
      <c r="F84" t="n">
        <v>194</v>
      </c>
      <c r="G84" t="n">
        <v>92</v>
      </c>
      <c r="H84" t="inlineStr">
        <is>
          <t>custom</t>
        </is>
      </c>
      <c r="I84" t="n">
        <v>10</v>
      </c>
      <c r="J84" t="n">
        <v>1</v>
      </c>
      <c r="K84" t="n">
        <v>0</v>
      </c>
      <c r="L84" t="n">
        <v>0</v>
      </c>
      <c r="N84" t="inlineStr">
        <is>
          <t>d0d8dd</t>
        </is>
      </c>
      <c r="O84" t="inlineStr">
        <is>
          <t>C</t>
        </is>
      </c>
      <c r="Q84" t="n">
        <v>3</v>
      </c>
      <c r="R84" t="b">
        <v>1</v>
      </c>
      <c r="S84" t="inlineStr">
        <is>
          <t xml:space="preserve"> </t>
        </is>
      </c>
      <c r="T84" t="n">
        <v>0</v>
      </c>
    </row>
    <row r="85">
      <c r="A85" t="inlineStr">
        <is>
          <t>table_vline1</t>
        </is>
      </c>
      <c r="B85" t="n">
        <v>7</v>
      </c>
      <c r="C85" t="inlineStr">
        <is>
          <t>L</t>
        </is>
      </c>
      <c r="D85" t="n">
        <v>114</v>
      </c>
      <c r="E85" t="n">
        <v>85</v>
      </c>
      <c r="F85" t="n">
        <v>114</v>
      </c>
      <c r="G85" t="n">
        <v>198</v>
      </c>
      <c r="I85" t="n">
        <v>0.5</v>
      </c>
      <c r="J85" t="n">
        <v>0</v>
      </c>
      <c r="K85" t="n">
        <v>0</v>
      </c>
      <c r="L85" t="n">
        <v>0</v>
      </c>
      <c r="M85" t="inlineStr">
        <is>
          <t>FFFFFF</t>
        </is>
      </c>
      <c r="N85" t="inlineStr">
        <is>
          <t>d0d8dd</t>
        </is>
      </c>
      <c r="O85" t="inlineStr">
        <is>
          <t>L</t>
        </is>
      </c>
      <c r="Q85" t="n">
        <v>4</v>
      </c>
      <c r="R85" t="b">
        <v>0</v>
      </c>
      <c r="S85" t="inlineStr">
        <is>
          <t xml:space="preserve"> </t>
        </is>
      </c>
      <c r="T85" t="n">
        <v>0</v>
      </c>
    </row>
    <row r="86">
      <c r="A86" t="inlineStr">
        <is>
          <t>table_vline2</t>
        </is>
      </c>
      <c r="B86" t="n">
        <v>7</v>
      </c>
      <c r="C86" t="inlineStr">
        <is>
          <t>L</t>
        </is>
      </c>
      <c r="D86" t="n">
        <v>141</v>
      </c>
      <c r="E86" t="n">
        <v>85</v>
      </c>
      <c r="F86" t="n">
        <v>141</v>
      </c>
      <c r="G86" t="n">
        <v>198</v>
      </c>
      <c r="I86" t="n">
        <v>0.5</v>
      </c>
      <c r="J86" t="n">
        <v>0</v>
      </c>
      <c r="K86" t="n">
        <v>0</v>
      </c>
      <c r="L86" t="n">
        <v>0</v>
      </c>
      <c r="M86" t="inlineStr">
        <is>
          <t>FFFFFF</t>
        </is>
      </c>
      <c r="N86" t="inlineStr">
        <is>
          <t>d0d8dd</t>
        </is>
      </c>
      <c r="O86" t="inlineStr">
        <is>
          <t>L</t>
        </is>
      </c>
      <c r="Q86" t="n">
        <v>4</v>
      </c>
      <c r="R86" t="b">
        <v>0</v>
      </c>
      <c r="S86" t="inlineStr">
        <is>
          <t xml:space="preserve"> </t>
        </is>
      </c>
      <c r="T86" t="n">
        <v>0</v>
      </c>
    </row>
    <row r="87">
      <c r="A87" t="inlineStr">
        <is>
          <t>table_vline3</t>
        </is>
      </c>
      <c r="B87" t="n">
        <v>7</v>
      </c>
      <c r="C87" t="inlineStr">
        <is>
          <t>L</t>
        </is>
      </c>
      <c r="D87" t="n">
        <v>168</v>
      </c>
      <c r="E87" t="n">
        <v>85</v>
      </c>
      <c r="F87" t="n">
        <v>168</v>
      </c>
      <c r="G87" t="n">
        <v>198</v>
      </c>
      <c r="I87" t="n">
        <v>0.5</v>
      </c>
      <c r="J87" t="n">
        <v>0</v>
      </c>
      <c r="K87" t="n">
        <v>0</v>
      </c>
      <c r="L87" t="n">
        <v>0</v>
      </c>
      <c r="M87" t="inlineStr">
        <is>
          <t>FFFFFF</t>
        </is>
      </c>
      <c r="N87" t="inlineStr">
        <is>
          <t>d0d8dd</t>
        </is>
      </c>
      <c r="O87" t="inlineStr">
        <is>
          <t>L</t>
        </is>
      </c>
      <c r="Q87" t="n">
        <v>4</v>
      </c>
      <c r="R87" t="b">
        <v>0</v>
      </c>
      <c r="S87" t="inlineStr">
        <is>
          <t xml:space="preserve"> </t>
        </is>
      </c>
      <c r="T87" t="n">
        <v>0</v>
      </c>
    </row>
    <row r="88">
      <c r="A88" t="inlineStr">
        <is>
          <t>table_hline_mid</t>
        </is>
      </c>
      <c r="B88" t="n">
        <v>7</v>
      </c>
      <c r="C88" t="inlineStr">
        <is>
          <t>L</t>
        </is>
      </c>
      <c r="D88" t="n">
        <v>14</v>
      </c>
      <c r="E88" t="n">
        <v>112</v>
      </c>
      <c r="F88" t="n">
        <v>196</v>
      </c>
      <c r="G88" t="n">
        <v>112</v>
      </c>
      <c r="I88" t="n">
        <v>0.5</v>
      </c>
      <c r="J88" t="n">
        <v>0</v>
      </c>
      <c r="K88" t="n">
        <v>0</v>
      </c>
      <c r="L88" t="n">
        <v>0</v>
      </c>
      <c r="M88" t="inlineStr">
        <is>
          <t>FFFFFF</t>
        </is>
      </c>
      <c r="N88" t="inlineStr">
        <is>
          <t>d0d8dd</t>
        </is>
      </c>
      <c r="O88" t="inlineStr">
        <is>
          <t>L</t>
        </is>
      </c>
      <c r="Q88" t="n">
        <v>4</v>
      </c>
      <c r="R88" t="b">
        <v>0</v>
      </c>
      <c r="S88" t="inlineStr">
        <is>
          <t xml:space="preserve"> </t>
        </is>
      </c>
      <c r="T88" t="n">
        <v>0</v>
      </c>
    </row>
    <row r="89">
      <c r="A89" t="inlineStr">
        <is>
          <t>Policy key</t>
        </is>
      </c>
      <c r="B89" t="n">
        <v>7</v>
      </c>
      <c r="C89" t="inlineStr">
        <is>
          <t>T</t>
        </is>
      </c>
      <c r="D89" t="n">
        <v>114</v>
      </c>
      <c r="E89" t="n">
        <v>200</v>
      </c>
      <c r="F89" t="n">
        <v>196</v>
      </c>
      <c r="G89" t="n">
        <v>204</v>
      </c>
      <c r="H89" t="inlineStr">
        <is>
          <t>custom</t>
        </is>
      </c>
      <c r="I89" t="n">
        <v>10</v>
      </c>
      <c r="J89" t="n">
        <v>0</v>
      </c>
      <c r="K89" t="n">
        <v>0</v>
      </c>
      <c r="L89" t="n">
        <v>0</v>
      </c>
      <c r="N89" t="inlineStr">
        <is>
          <t>FFFFFF</t>
        </is>
      </c>
      <c r="O89" t="inlineStr">
        <is>
          <t>R</t>
        </is>
      </c>
      <c r="Q89" t="n">
        <v>2</v>
      </c>
      <c r="R89" t="b">
        <v>0</v>
      </c>
      <c r="S89" t="inlineStr">
        <is>
          <t xml:space="preserve"> </t>
        </is>
      </c>
      <c r="T89" t="n">
        <v>0</v>
      </c>
    </row>
    <row r="90">
      <c r="A90" t="inlineStr">
        <is>
          <t>policy_checklist1_text1</t>
        </is>
      </c>
      <c r="B90" t="n">
        <v>7</v>
      </c>
      <c r="C90" t="inlineStr">
        <is>
          <t>T</t>
        </is>
      </c>
      <c r="D90" t="n">
        <v>14</v>
      </c>
      <c r="E90" t="n">
        <v>114</v>
      </c>
      <c r="F90" t="n">
        <v>112</v>
      </c>
      <c r="G90" t="n">
        <v>119</v>
      </c>
      <c r="H90" t="inlineStr">
        <is>
          <t>custom</t>
        </is>
      </c>
      <c r="I90" t="n">
        <v>12</v>
      </c>
      <c r="J90" t="n">
        <v>0</v>
      </c>
      <c r="K90" t="n">
        <v>0</v>
      </c>
      <c r="L90" t="n">
        <v>0</v>
      </c>
      <c r="N90" t="inlineStr">
        <is>
          <t>d0d8dd</t>
        </is>
      </c>
      <c r="O90" t="inlineStr">
        <is>
          <t>L</t>
        </is>
      </c>
      <c r="Q90" t="n">
        <v>3</v>
      </c>
      <c r="R90" t="b">
        <v>1</v>
      </c>
      <c r="S90" t="inlineStr">
        <is>
          <t xml:space="preserve"> </t>
        </is>
      </c>
      <c r="T90" t="n">
        <v>0</v>
      </c>
    </row>
    <row r="91">
      <c r="A91" t="inlineStr">
        <is>
          <t>policy_checklist1_text1_response1</t>
        </is>
      </c>
      <c r="B91" t="n">
        <v>7</v>
      </c>
      <c r="C91" t="inlineStr">
        <is>
          <t>T</t>
        </is>
      </c>
      <c r="D91" t="n">
        <v>113</v>
      </c>
      <c r="E91" t="n">
        <v>115</v>
      </c>
      <c r="F91" t="n">
        <v>140</v>
      </c>
      <c r="G91" t="n">
        <v>118</v>
      </c>
      <c r="H91" t="inlineStr">
        <is>
          <t>dejavu</t>
        </is>
      </c>
      <c r="I91" t="n">
        <v>16</v>
      </c>
      <c r="J91" t="n">
        <v>1</v>
      </c>
      <c r="K91" t="n">
        <v>0</v>
      </c>
      <c r="L91" t="n">
        <v>0</v>
      </c>
      <c r="N91" t="inlineStr">
        <is>
          <t>d0d8dd</t>
        </is>
      </c>
      <c r="O91" t="inlineStr">
        <is>
          <t>C</t>
        </is>
      </c>
      <c r="Q91" t="n">
        <v>2</v>
      </c>
      <c r="R91" t="b">
        <v>0</v>
      </c>
      <c r="S91" t="inlineStr">
        <is>
          <t xml:space="preserve"> </t>
        </is>
      </c>
      <c r="T91" t="n">
        <v>0</v>
      </c>
    </row>
    <row r="92">
      <c r="A92" t="inlineStr">
        <is>
          <t>policy_checklist1_text1_response2</t>
        </is>
      </c>
      <c r="B92" t="n">
        <v>7</v>
      </c>
      <c r="C92" t="inlineStr">
        <is>
          <t>T</t>
        </is>
      </c>
      <c r="D92" t="n">
        <v>140</v>
      </c>
      <c r="E92" t="n">
        <v>115</v>
      </c>
      <c r="F92" t="n">
        <v>169</v>
      </c>
      <c r="G92" t="n">
        <v>118</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policy_checklist1_text1_response3</t>
        </is>
      </c>
      <c r="B93" t="n">
        <v>7</v>
      </c>
      <c r="C93" t="inlineStr">
        <is>
          <t>T</t>
        </is>
      </c>
      <c r="D93" t="n">
        <v>168</v>
      </c>
      <c r="E93" t="n">
        <v>115</v>
      </c>
      <c r="F93" t="n">
        <v>194</v>
      </c>
      <c r="G93" t="n">
        <v>118</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policy_checklist1_text2</t>
        </is>
      </c>
      <c r="B94" t="n">
        <v>7</v>
      </c>
      <c r="C94" t="inlineStr">
        <is>
          <t>T</t>
        </is>
      </c>
      <c r="D94" t="n">
        <v>14</v>
      </c>
      <c r="E94" t="n">
        <v>130</v>
      </c>
      <c r="F94" t="n">
        <v>112</v>
      </c>
      <c r="G94" t="n">
        <v>135</v>
      </c>
      <c r="H94" t="inlineStr">
        <is>
          <t>custom</t>
        </is>
      </c>
      <c r="I94" t="n">
        <v>12</v>
      </c>
      <c r="J94" t="n">
        <v>0</v>
      </c>
      <c r="K94" t="n">
        <v>0</v>
      </c>
      <c r="L94" t="n">
        <v>0</v>
      </c>
      <c r="N94" t="inlineStr">
        <is>
          <t>d0d8dd</t>
        </is>
      </c>
      <c r="O94" t="inlineStr">
        <is>
          <t>L</t>
        </is>
      </c>
      <c r="Q94" t="n">
        <v>3</v>
      </c>
      <c r="R94" t="b">
        <v>1</v>
      </c>
      <c r="S94" t="inlineStr">
        <is>
          <t xml:space="preserve"> </t>
        </is>
      </c>
      <c r="T94" t="n">
        <v>0</v>
      </c>
    </row>
    <row r="95">
      <c r="A95" t="inlineStr">
        <is>
          <t>policy_checklist1_text2_response1</t>
        </is>
      </c>
      <c r="B95" t="n">
        <v>7</v>
      </c>
      <c r="C95" t="inlineStr">
        <is>
          <t>T</t>
        </is>
      </c>
      <c r="D95" t="n">
        <v>113</v>
      </c>
      <c r="E95" t="n">
        <v>131</v>
      </c>
      <c r="F95" t="n">
        <v>140</v>
      </c>
      <c r="G95" t="n">
        <v>134</v>
      </c>
      <c r="H95" t="inlineStr">
        <is>
          <t>dejavu</t>
        </is>
      </c>
      <c r="I95" t="n">
        <v>16</v>
      </c>
      <c r="J95" t="n">
        <v>1</v>
      </c>
      <c r="K95" t="n">
        <v>0</v>
      </c>
      <c r="L95" t="n">
        <v>0</v>
      </c>
      <c r="N95" t="inlineStr">
        <is>
          <t>d0d8dd</t>
        </is>
      </c>
      <c r="O95" t="inlineStr">
        <is>
          <t>C</t>
        </is>
      </c>
      <c r="Q95" t="n">
        <v>2</v>
      </c>
      <c r="R95" t="b">
        <v>0</v>
      </c>
      <c r="S95" t="inlineStr">
        <is>
          <t xml:space="preserve"> </t>
        </is>
      </c>
      <c r="T95" t="n">
        <v>0</v>
      </c>
    </row>
    <row r="96">
      <c r="A96" t="inlineStr">
        <is>
          <t>policy_checklist1_text2_response2</t>
        </is>
      </c>
      <c r="B96" t="n">
        <v>7</v>
      </c>
      <c r="C96" t="inlineStr">
        <is>
          <t>T</t>
        </is>
      </c>
      <c r="D96" t="n">
        <v>140</v>
      </c>
      <c r="E96" t="n">
        <v>131</v>
      </c>
      <c r="F96" t="n">
        <v>169</v>
      </c>
      <c r="G96" t="n">
        <v>134</v>
      </c>
      <c r="H96" t="inlineStr">
        <is>
          <t>dejavu</t>
        </is>
      </c>
      <c r="I96" t="n">
        <v>16</v>
      </c>
      <c r="J96" t="n">
        <v>1</v>
      </c>
      <c r="K96" t="n">
        <v>0</v>
      </c>
      <c r="L96" t="n">
        <v>0</v>
      </c>
      <c r="N96" t="inlineStr">
        <is>
          <t>d0d8dd</t>
        </is>
      </c>
      <c r="O96" t="inlineStr">
        <is>
          <t>C</t>
        </is>
      </c>
      <c r="Q96" t="n">
        <v>2</v>
      </c>
      <c r="R96" t="b">
        <v>0</v>
      </c>
      <c r="S96" t="inlineStr">
        <is>
          <t xml:space="preserve"> </t>
        </is>
      </c>
      <c r="T96" t="n">
        <v>0</v>
      </c>
    </row>
    <row r="97">
      <c r="A97" t="inlineStr">
        <is>
          <t>policy_checklist1_text2_response3</t>
        </is>
      </c>
      <c r="B97" t="n">
        <v>7</v>
      </c>
      <c r="C97" t="inlineStr">
        <is>
          <t>T</t>
        </is>
      </c>
      <c r="D97" t="n">
        <v>168</v>
      </c>
      <c r="E97" t="n">
        <v>131</v>
      </c>
      <c r="F97" t="n">
        <v>194</v>
      </c>
      <c r="G97" t="n">
        <v>134</v>
      </c>
      <c r="H97" t="inlineStr">
        <is>
          <t>dejavu</t>
        </is>
      </c>
      <c r="I97" t="n">
        <v>16</v>
      </c>
      <c r="J97" t="n">
        <v>1</v>
      </c>
      <c r="K97" t="n">
        <v>0</v>
      </c>
      <c r="L97" t="n">
        <v>0</v>
      </c>
      <c r="N97" t="inlineStr">
        <is>
          <t>d0d8dd</t>
        </is>
      </c>
      <c r="O97" t="inlineStr">
        <is>
          <t>C</t>
        </is>
      </c>
      <c r="Q97" t="n">
        <v>2</v>
      </c>
      <c r="R97" t="b">
        <v>0</v>
      </c>
      <c r="S97" t="inlineStr">
        <is>
          <t xml:space="preserve"> </t>
        </is>
      </c>
      <c r="T97" t="n">
        <v>0</v>
      </c>
    </row>
    <row r="98">
      <c r="A98" t="inlineStr">
        <is>
          <t>policy_checklist1_text3</t>
        </is>
      </c>
      <c r="B98" t="n">
        <v>7</v>
      </c>
      <c r="C98" t="inlineStr">
        <is>
          <t>T</t>
        </is>
      </c>
      <c r="D98" t="n">
        <v>14</v>
      </c>
      <c r="E98" t="n">
        <v>146</v>
      </c>
      <c r="F98" t="n">
        <v>112</v>
      </c>
      <c r="G98" t="n">
        <v>151</v>
      </c>
      <c r="H98" t="inlineStr">
        <is>
          <t>custom</t>
        </is>
      </c>
      <c r="I98" t="n">
        <v>12</v>
      </c>
      <c r="J98" t="n">
        <v>0</v>
      </c>
      <c r="K98" t="n">
        <v>0</v>
      </c>
      <c r="L98" t="n">
        <v>0</v>
      </c>
      <c r="N98" t="inlineStr">
        <is>
          <t>d0d8dd</t>
        </is>
      </c>
      <c r="O98" t="inlineStr">
        <is>
          <t>L</t>
        </is>
      </c>
      <c r="Q98" t="n">
        <v>3</v>
      </c>
      <c r="R98" t="b">
        <v>1</v>
      </c>
      <c r="S98" t="inlineStr">
        <is>
          <t xml:space="preserve"> </t>
        </is>
      </c>
      <c r="T98" t="n">
        <v>0</v>
      </c>
    </row>
    <row r="99">
      <c r="A99" t="inlineStr">
        <is>
          <t>policy_checklist1_text3_response1</t>
        </is>
      </c>
      <c r="B99" t="n">
        <v>7</v>
      </c>
      <c r="C99" t="inlineStr">
        <is>
          <t>T</t>
        </is>
      </c>
      <c r="D99" t="n">
        <v>113</v>
      </c>
      <c r="E99" t="n">
        <v>147</v>
      </c>
      <c r="F99" t="n">
        <v>140</v>
      </c>
      <c r="G99" t="n">
        <v>150</v>
      </c>
      <c r="H99" t="inlineStr">
        <is>
          <t>dejavu</t>
        </is>
      </c>
      <c r="I99" t="n">
        <v>16</v>
      </c>
      <c r="J99" t="n">
        <v>1</v>
      </c>
      <c r="K99" t="n">
        <v>0</v>
      </c>
      <c r="L99" t="n">
        <v>0</v>
      </c>
      <c r="N99" t="inlineStr">
        <is>
          <t>d0d8dd</t>
        </is>
      </c>
      <c r="O99" t="inlineStr">
        <is>
          <t>C</t>
        </is>
      </c>
      <c r="Q99" t="n">
        <v>2</v>
      </c>
      <c r="R99" t="b">
        <v>0</v>
      </c>
      <c r="S99" t="inlineStr">
        <is>
          <t xml:space="preserve"> </t>
        </is>
      </c>
      <c r="T99" t="n">
        <v>0</v>
      </c>
    </row>
    <row r="100">
      <c r="A100" t="inlineStr">
        <is>
          <t>policy_checklist1_text3_response2</t>
        </is>
      </c>
      <c r="B100" t="n">
        <v>7</v>
      </c>
      <c r="C100" t="inlineStr">
        <is>
          <t>T</t>
        </is>
      </c>
      <c r="D100" t="n">
        <v>140</v>
      </c>
      <c r="E100" t="n">
        <v>147</v>
      </c>
      <c r="F100" t="n">
        <v>169</v>
      </c>
      <c r="G100" t="n">
        <v>150</v>
      </c>
      <c r="H100" t="inlineStr">
        <is>
          <t>dejavu</t>
        </is>
      </c>
      <c r="I100" t="n">
        <v>16</v>
      </c>
      <c r="J100" t="n">
        <v>1</v>
      </c>
      <c r="K100" t="n">
        <v>0</v>
      </c>
      <c r="L100" t="n">
        <v>0</v>
      </c>
      <c r="N100" t="inlineStr">
        <is>
          <t>d0d8dd</t>
        </is>
      </c>
      <c r="O100" t="inlineStr">
        <is>
          <t>C</t>
        </is>
      </c>
      <c r="Q100" t="n">
        <v>2</v>
      </c>
      <c r="R100" t="b">
        <v>0</v>
      </c>
      <c r="S100" t="inlineStr">
        <is>
          <t xml:space="preserve"> </t>
        </is>
      </c>
      <c r="T100" t="n">
        <v>0</v>
      </c>
    </row>
    <row r="101">
      <c r="A101" t="inlineStr">
        <is>
          <t>policy_checklist1_text3_response3</t>
        </is>
      </c>
      <c r="B101" t="n">
        <v>7</v>
      </c>
      <c r="C101" t="inlineStr">
        <is>
          <t>T</t>
        </is>
      </c>
      <c r="D101" t="n">
        <v>168</v>
      </c>
      <c r="E101" t="n">
        <v>147</v>
      </c>
      <c r="F101" t="n">
        <v>194</v>
      </c>
      <c r="G101" t="n">
        <v>150</v>
      </c>
      <c r="H101" t="inlineStr">
        <is>
          <t>dejavu</t>
        </is>
      </c>
      <c r="I101" t="n">
        <v>16</v>
      </c>
      <c r="J101" t="n">
        <v>1</v>
      </c>
      <c r="K101" t="n">
        <v>0</v>
      </c>
      <c r="L101" t="n">
        <v>0</v>
      </c>
      <c r="N101" t="inlineStr">
        <is>
          <t>d0d8dd</t>
        </is>
      </c>
      <c r="O101" t="inlineStr">
        <is>
          <t>C</t>
        </is>
      </c>
      <c r="Q101" t="n">
        <v>2</v>
      </c>
      <c r="R101" t="b">
        <v>0</v>
      </c>
      <c r="S101" t="inlineStr">
        <is>
          <t xml:space="preserve"> </t>
        </is>
      </c>
      <c r="T101" t="n">
        <v>0</v>
      </c>
    </row>
    <row r="102">
      <c r="A102" t="inlineStr">
        <is>
          <t>policy_checklist1_text4</t>
        </is>
      </c>
      <c r="B102" t="n">
        <v>7</v>
      </c>
      <c r="C102" t="inlineStr">
        <is>
          <t>T</t>
        </is>
      </c>
      <c r="D102" t="n">
        <v>14</v>
      </c>
      <c r="E102" t="n">
        <v>162</v>
      </c>
      <c r="F102" t="n">
        <v>112</v>
      </c>
      <c r="G102" t="n">
        <v>167</v>
      </c>
      <c r="H102" t="inlineStr">
        <is>
          <t>custom</t>
        </is>
      </c>
      <c r="I102" t="n">
        <v>12</v>
      </c>
      <c r="J102" t="n">
        <v>0</v>
      </c>
      <c r="K102" t="n">
        <v>0</v>
      </c>
      <c r="L102" t="n">
        <v>0</v>
      </c>
      <c r="N102" t="inlineStr">
        <is>
          <t>d0d8dd</t>
        </is>
      </c>
      <c r="O102" t="inlineStr">
        <is>
          <t>L</t>
        </is>
      </c>
      <c r="Q102" t="n">
        <v>3</v>
      </c>
      <c r="R102" t="b">
        <v>1</v>
      </c>
      <c r="S102" t="inlineStr">
        <is>
          <t xml:space="preserve"> </t>
        </is>
      </c>
      <c r="T102" t="n">
        <v>0</v>
      </c>
    </row>
    <row r="103">
      <c r="A103" t="inlineStr">
        <is>
          <t>policy_checklist1_text4_response1</t>
        </is>
      </c>
      <c r="B103" t="n">
        <v>7</v>
      </c>
      <c r="C103" t="inlineStr">
        <is>
          <t>T</t>
        </is>
      </c>
      <c r="D103" t="n">
        <v>113</v>
      </c>
      <c r="E103" t="n">
        <v>163</v>
      </c>
      <c r="F103" t="n">
        <v>140</v>
      </c>
      <c r="G103" t="n">
        <v>166</v>
      </c>
      <c r="H103" t="inlineStr">
        <is>
          <t>dejavu</t>
        </is>
      </c>
      <c r="I103" t="n">
        <v>16</v>
      </c>
      <c r="J103" t="n">
        <v>1</v>
      </c>
      <c r="K103" t="n">
        <v>0</v>
      </c>
      <c r="L103" t="n">
        <v>0</v>
      </c>
      <c r="N103" t="inlineStr">
        <is>
          <t>d0d8dd</t>
        </is>
      </c>
      <c r="O103" t="inlineStr">
        <is>
          <t>C</t>
        </is>
      </c>
      <c r="Q103" t="n">
        <v>2</v>
      </c>
      <c r="R103" t="b">
        <v>0</v>
      </c>
      <c r="S103" t="inlineStr">
        <is>
          <t xml:space="preserve"> </t>
        </is>
      </c>
      <c r="T103" t="n">
        <v>0</v>
      </c>
    </row>
    <row r="104">
      <c r="A104" t="inlineStr">
        <is>
          <t>policy_checklist1_text4_response2</t>
        </is>
      </c>
      <c r="B104" t="n">
        <v>7</v>
      </c>
      <c r="C104" t="inlineStr">
        <is>
          <t>T</t>
        </is>
      </c>
      <c r="D104" t="n">
        <v>140</v>
      </c>
      <c r="E104" t="n">
        <v>163</v>
      </c>
      <c r="F104" t="n">
        <v>169</v>
      </c>
      <c r="G104" t="n">
        <v>166</v>
      </c>
      <c r="H104" t="inlineStr">
        <is>
          <t>dejavu</t>
        </is>
      </c>
      <c r="I104" t="n">
        <v>16</v>
      </c>
      <c r="J104" t="n">
        <v>1</v>
      </c>
      <c r="K104" t="n">
        <v>0</v>
      </c>
      <c r="L104" t="n">
        <v>0</v>
      </c>
      <c r="N104" t="inlineStr">
        <is>
          <t>d0d8dd</t>
        </is>
      </c>
      <c r="O104" t="inlineStr">
        <is>
          <t>C</t>
        </is>
      </c>
      <c r="Q104" t="n">
        <v>2</v>
      </c>
      <c r="R104" t="b">
        <v>0</v>
      </c>
      <c r="S104" t="inlineStr">
        <is>
          <t xml:space="preserve"> </t>
        </is>
      </c>
      <c r="T104" t="n">
        <v>0</v>
      </c>
    </row>
    <row r="105">
      <c r="A105" t="inlineStr">
        <is>
          <t>policy_checklist1_text4_response3</t>
        </is>
      </c>
      <c r="B105" t="n">
        <v>7</v>
      </c>
      <c r="C105" t="inlineStr">
        <is>
          <t>T</t>
        </is>
      </c>
      <c r="D105" t="n">
        <v>168</v>
      </c>
      <c r="E105" t="n">
        <v>163</v>
      </c>
      <c r="F105" t="n">
        <v>194</v>
      </c>
      <c r="G105" t="n">
        <v>166</v>
      </c>
      <c r="H105" t="inlineStr">
        <is>
          <t>dejavu</t>
        </is>
      </c>
      <c r="I105" t="n">
        <v>16</v>
      </c>
      <c r="J105" t="n">
        <v>1</v>
      </c>
      <c r="K105" t="n">
        <v>0</v>
      </c>
      <c r="L105" t="n">
        <v>0</v>
      </c>
      <c r="N105" t="inlineStr">
        <is>
          <t>d0d8dd</t>
        </is>
      </c>
      <c r="O105" t="inlineStr">
        <is>
          <t>C</t>
        </is>
      </c>
      <c r="Q105" t="n">
        <v>2</v>
      </c>
      <c r="R105" t="b">
        <v>0</v>
      </c>
      <c r="S105" t="inlineStr">
        <is>
          <t xml:space="preserve"> </t>
        </is>
      </c>
      <c r="T105" t="n">
        <v>0</v>
      </c>
    </row>
    <row r="106">
      <c r="A106" t="inlineStr">
        <is>
          <t>policy_checklist1_text5</t>
        </is>
      </c>
      <c r="B106" t="n">
        <v>7</v>
      </c>
      <c r="C106" t="inlineStr">
        <is>
          <t>T</t>
        </is>
      </c>
      <c r="D106" t="n">
        <v>14</v>
      </c>
      <c r="E106" t="n">
        <v>178</v>
      </c>
      <c r="F106" t="n">
        <v>112</v>
      </c>
      <c r="G106" t="n">
        <v>183</v>
      </c>
      <c r="H106" t="inlineStr">
        <is>
          <t>custom</t>
        </is>
      </c>
      <c r="I106" t="n">
        <v>12</v>
      </c>
      <c r="J106" t="n">
        <v>0</v>
      </c>
      <c r="K106" t="n">
        <v>0</v>
      </c>
      <c r="L106" t="n">
        <v>0</v>
      </c>
      <c r="N106" t="inlineStr">
        <is>
          <t>d0d8dd</t>
        </is>
      </c>
      <c r="O106" t="inlineStr">
        <is>
          <t>L</t>
        </is>
      </c>
      <c r="Q106" t="n">
        <v>3</v>
      </c>
      <c r="R106" t="b">
        <v>1</v>
      </c>
      <c r="S106" t="inlineStr">
        <is>
          <t xml:space="preserve"> </t>
        </is>
      </c>
      <c r="T106" t="n">
        <v>0</v>
      </c>
    </row>
    <row r="107">
      <c r="A107" t="inlineStr">
        <is>
          <t>policy_checklist1_text5_response1</t>
        </is>
      </c>
      <c r="B107" t="n">
        <v>7</v>
      </c>
      <c r="C107" t="inlineStr">
        <is>
          <t>T</t>
        </is>
      </c>
      <c r="D107" t="n">
        <v>113</v>
      </c>
      <c r="E107" t="n">
        <v>179</v>
      </c>
      <c r="F107" t="n">
        <v>140</v>
      </c>
      <c r="G107" t="n">
        <v>182</v>
      </c>
      <c r="H107" t="inlineStr">
        <is>
          <t>dejavu</t>
        </is>
      </c>
      <c r="I107" t="n">
        <v>16</v>
      </c>
      <c r="J107" t="n">
        <v>1</v>
      </c>
      <c r="K107" t="n">
        <v>0</v>
      </c>
      <c r="L107" t="n">
        <v>0</v>
      </c>
      <c r="N107" t="inlineStr">
        <is>
          <t>d0d8dd</t>
        </is>
      </c>
      <c r="O107" t="inlineStr">
        <is>
          <t>C</t>
        </is>
      </c>
      <c r="Q107" t="n">
        <v>2</v>
      </c>
      <c r="R107" t="b">
        <v>0</v>
      </c>
      <c r="S107" t="inlineStr">
        <is>
          <t xml:space="preserve"> </t>
        </is>
      </c>
      <c r="T107" t="n">
        <v>0</v>
      </c>
    </row>
    <row r="108">
      <c r="A108" t="inlineStr">
        <is>
          <t>policy_checklist1_text5_response2</t>
        </is>
      </c>
      <c r="B108" t="n">
        <v>7</v>
      </c>
      <c r="C108" t="inlineStr">
        <is>
          <t>T</t>
        </is>
      </c>
      <c r="D108" t="n">
        <v>140</v>
      </c>
      <c r="E108" t="n">
        <v>179</v>
      </c>
      <c r="F108" t="n">
        <v>169</v>
      </c>
      <c r="G108" t="n">
        <v>182</v>
      </c>
      <c r="H108" t="inlineStr">
        <is>
          <t>dejavu</t>
        </is>
      </c>
      <c r="I108" t="n">
        <v>16</v>
      </c>
      <c r="J108" t="n">
        <v>1</v>
      </c>
      <c r="K108" t="n">
        <v>0</v>
      </c>
      <c r="L108" t="n">
        <v>0</v>
      </c>
      <c r="N108" t="inlineStr">
        <is>
          <t>d0d8dd</t>
        </is>
      </c>
      <c r="O108" t="inlineStr">
        <is>
          <t>C</t>
        </is>
      </c>
      <c r="Q108" t="n">
        <v>2</v>
      </c>
      <c r="R108" t="b">
        <v>0</v>
      </c>
      <c r="S108" t="inlineStr">
        <is>
          <t xml:space="preserve"> </t>
        </is>
      </c>
      <c r="T108" t="n">
        <v>0</v>
      </c>
    </row>
    <row r="109">
      <c r="A109" t="inlineStr">
        <is>
          <t>policy_checklist1_text5_response3</t>
        </is>
      </c>
      <c r="B109" t="n">
        <v>7</v>
      </c>
      <c r="C109" t="inlineStr">
        <is>
          <t>T</t>
        </is>
      </c>
      <c r="D109" t="n">
        <v>168</v>
      </c>
      <c r="E109" t="n">
        <v>179</v>
      </c>
      <c r="F109" t="n">
        <v>194</v>
      </c>
      <c r="G109" t="n">
        <v>182</v>
      </c>
      <c r="H109" t="inlineStr">
        <is>
          <t>dejavu</t>
        </is>
      </c>
      <c r="I109" t="n">
        <v>16</v>
      </c>
      <c r="J109" t="n">
        <v>1</v>
      </c>
      <c r="K109" t="n">
        <v>0</v>
      </c>
      <c r="L109" t="n">
        <v>0</v>
      </c>
      <c r="N109" t="inlineStr">
        <is>
          <t>d0d8dd</t>
        </is>
      </c>
      <c r="O109" t="inlineStr">
        <is>
          <t>C</t>
        </is>
      </c>
      <c r="Q109" t="n">
        <v>2</v>
      </c>
      <c r="R109" t="b">
        <v>0</v>
      </c>
      <c r="S109" t="inlineStr">
        <is>
          <t xml:space="preserve"> </t>
        </is>
      </c>
      <c r="T109" t="n">
        <v>0</v>
      </c>
    </row>
    <row r="110">
      <c r="A110" t="inlineStr">
        <is>
          <t>relative neighbourhood walkability</t>
        </is>
      </c>
      <c r="B110" t="n">
        <v>-999</v>
      </c>
      <c r="C110" t="inlineStr">
        <is>
          <t>T</t>
        </is>
      </c>
      <c r="D110" t="n">
        <v>127</v>
      </c>
      <c r="E110" t="n">
        <v>13</v>
      </c>
      <c r="F110" t="n">
        <v>205</v>
      </c>
      <c r="G110" t="n">
        <v>18</v>
      </c>
      <c r="H110" t="inlineStr">
        <is>
          <t>custom</t>
        </is>
      </c>
      <c r="I110" t="n">
        <v>14</v>
      </c>
      <c r="J110" t="n">
        <v>1</v>
      </c>
      <c r="K110" t="n">
        <v>0</v>
      </c>
      <c r="L110" t="n">
        <v>0</v>
      </c>
      <c r="N110" t="inlineStr">
        <is>
          <t>FFFFFF</t>
        </is>
      </c>
      <c r="O110" t="inlineStr">
        <is>
          <t>L</t>
        </is>
      </c>
      <c r="Q110" t="n">
        <v>2</v>
      </c>
      <c r="R110" t="b">
        <v>1</v>
      </c>
      <c r="S110" t="inlineStr">
        <is>
          <t xml:space="preserve"> </t>
        </is>
      </c>
      <c r="T110" t="n">
        <v>0</v>
      </c>
    </row>
    <row r="111">
      <c r="A111" t="inlineStr">
        <is>
          <t>walkability_header</t>
        </is>
      </c>
      <c r="B111" t="n">
        <v>7</v>
      </c>
      <c r="C111" t="inlineStr">
        <is>
          <t>T</t>
        </is>
      </c>
      <c r="D111" t="n">
        <v>14</v>
      </c>
      <c r="E111" t="n">
        <v>215</v>
      </c>
      <c r="F111" t="n">
        <v>196</v>
      </c>
      <c r="G111" t="n">
        <v>220</v>
      </c>
      <c r="H111" t="inlineStr">
        <is>
          <t>custom</t>
        </is>
      </c>
      <c r="I111" t="n">
        <v>14</v>
      </c>
      <c r="J111" t="n">
        <v>1</v>
      </c>
      <c r="K111" t="n">
        <v>0</v>
      </c>
      <c r="L111" t="n">
        <v>0</v>
      </c>
      <c r="N111" t="inlineStr">
        <is>
          <t>FFFFFF</t>
        </is>
      </c>
      <c r="O111" t="inlineStr">
        <is>
          <t>L</t>
        </is>
      </c>
      <c r="Q111" t="n">
        <v>3</v>
      </c>
      <c r="R111" t="b">
        <v>1</v>
      </c>
      <c r="S111" t="inlineStr">
        <is>
          <t xml:space="preserve"> </t>
        </is>
      </c>
      <c r="T111" t="n">
        <v>0</v>
      </c>
    </row>
    <row r="112">
      <c r="A112" t="inlineStr">
        <is>
          <t>walkability_description</t>
        </is>
      </c>
      <c r="B112" t="n">
        <v>7</v>
      </c>
      <c r="C112" t="inlineStr">
        <is>
          <t>T</t>
        </is>
      </c>
      <c r="D112" t="n">
        <v>14</v>
      </c>
      <c r="E112" t="n">
        <v>228</v>
      </c>
      <c r="F112" t="n">
        <v>196</v>
      </c>
      <c r="G112" t="n">
        <v>233</v>
      </c>
      <c r="H112" t="inlineStr">
        <is>
          <t>custom</t>
        </is>
      </c>
      <c r="I112" t="n">
        <v>12</v>
      </c>
      <c r="J112" t="n">
        <v>0</v>
      </c>
      <c r="K112" t="n">
        <v>0</v>
      </c>
      <c r="L112" t="n">
        <v>0</v>
      </c>
      <c r="N112" t="inlineStr">
        <is>
          <t>FFFFFF</t>
        </is>
      </c>
      <c r="O112" t="inlineStr">
        <is>
          <t>L</t>
        </is>
      </c>
      <c r="P112" s="1" t="n"/>
      <c r="Q112" t="n">
        <v>1</v>
      </c>
      <c r="R112" t="b">
        <v>1</v>
      </c>
      <c r="S112" t="inlineStr">
        <is>
          <t xml:space="preserve"> </t>
        </is>
      </c>
      <c r="T112" t="n">
        <v>0</v>
      </c>
    </row>
    <row r="113">
      <c r="A113" t="inlineStr">
        <is>
          <t>policy_box_checklist2</t>
        </is>
      </c>
      <c r="B113" t="n">
        <v>8</v>
      </c>
      <c r="C113" t="inlineStr">
        <is>
          <t>B</t>
        </is>
      </c>
      <c r="D113" t="n">
        <v>0</v>
      </c>
      <c r="E113" t="n">
        <v>30</v>
      </c>
      <c r="F113" t="n">
        <v>210</v>
      </c>
      <c r="G113" t="n">
        <v>267</v>
      </c>
      <c r="I113" t="n">
        <v>0</v>
      </c>
      <c r="J113" t="n">
        <v>1</v>
      </c>
      <c r="K113" t="n">
        <v>0</v>
      </c>
      <c r="L113" t="n">
        <v>0</v>
      </c>
      <c r="M113" t="inlineStr">
        <is>
          <t>eceaf8</t>
        </is>
      </c>
      <c r="N113" t="inlineStr">
        <is>
          <t>d0d8dd</t>
        </is>
      </c>
      <c r="O113" t="inlineStr">
        <is>
          <t>L</t>
        </is>
      </c>
      <c r="Q113" t="n">
        <v>2</v>
      </c>
      <c r="R113" t="b">
        <v>0</v>
      </c>
      <c r="S113" t="inlineStr">
        <is>
          <t xml:space="preserve"> </t>
        </is>
      </c>
      <c r="T113" t="n">
        <v>0</v>
      </c>
    </row>
    <row r="114">
      <c r="A114" t="inlineStr">
        <is>
          <t>policy_checklist2_title</t>
        </is>
      </c>
      <c r="B114" t="n">
        <v>8</v>
      </c>
      <c r="C114" t="inlineStr">
        <is>
          <t>T</t>
        </is>
      </c>
      <c r="D114" t="n">
        <v>14</v>
      </c>
      <c r="E114" t="n">
        <v>20</v>
      </c>
      <c r="F114" t="n">
        <v>196</v>
      </c>
      <c r="G114" t="n">
        <v>25</v>
      </c>
      <c r="H114" t="inlineStr">
        <is>
          <t>custom</t>
        </is>
      </c>
      <c r="I114" t="n">
        <v>12</v>
      </c>
      <c r="J114" t="n">
        <v>1</v>
      </c>
      <c r="K114" t="n">
        <v>0</v>
      </c>
      <c r="L114" t="n">
        <v>0</v>
      </c>
      <c r="N114" t="inlineStr">
        <is>
          <t>FFFFFF</t>
        </is>
      </c>
      <c r="O114" t="inlineStr">
        <is>
          <t>L</t>
        </is>
      </c>
      <c r="Q114" t="n">
        <v>3</v>
      </c>
      <c r="R114" t="b">
        <v>1</v>
      </c>
      <c r="S114" t="inlineStr">
        <is>
          <t xml:space="preserve"> </t>
        </is>
      </c>
      <c r="T114" t="n">
        <v>0</v>
      </c>
    </row>
    <row r="115">
      <c r="A115" t="inlineStr">
        <is>
          <t>policy_checklist_header1</t>
        </is>
      </c>
      <c r="B115" t="n">
        <v>8</v>
      </c>
      <c r="C115" t="inlineStr">
        <is>
          <t>T</t>
        </is>
      </c>
      <c r="D115" t="n">
        <v>113</v>
      </c>
      <c r="E115" t="n">
        <v>32</v>
      </c>
      <c r="F115" t="n">
        <v>140</v>
      </c>
      <c r="G115" t="n">
        <v>37</v>
      </c>
      <c r="H115" t="inlineStr">
        <is>
          <t>custom</t>
        </is>
      </c>
      <c r="I115" t="n">
        <v>10</v>
      </c>
      <c r="J115" t="n">
        <v>1</v>
      </c>
      <c r="K115" t="n">
        <v>0</v>
      </c>
      <c r="L115" t="n">
        <v>0</v>
      </c>
      <c r="N115" t="inlineStr">
        <is>
          <t>d0d8dd</t>
        </is>
      </c>
      <c r="O115" t="inlineStr">
        <is>
          <t>C</t>
        </is>
      </c>
      <c r="Q115" t="n">
        <v>3</v>
      </c>
      <c r="R115" t="b">
        <v>1</v>
      </c>
      <c r="S115" t="inlineStr">
        <is>
          <t xml:space="preserve"> </t>
        </is>
      </c>
      <c r="T115" t="n">
        <v>0</v>
      </c>
    </row>
    <row r="116">
      <c r="A116" t="inlineStr">
        <is>
          <t>policy_checklist_header2</t>
        </is>
      </c>
      <c r="B116" t="n">
        <v>8</v>
      </c>
      <c r="C116" t="inlineStr">
        <is>
          <t>T</t>
        </is>
      </c>
      <c r="D116" t="n">
        <v>140</v>
      </c>
      <c r="E116" t="n">
        <v>32</v>
      </c>
      <c r="F116" t="n">
        <v>169</v>
      </c>
      <c r="G116" t="n">
        <v>37</v>
      </c>
      <c r="H116" t="inlineStr">
        <is>
          <t>custom</t>
        </is>
      </c>
      <c r="I116" t="n">
        <v>10</v>
      </c>
      <c r="J116" t="n">
        <v>1</v>
      </c>
      <c r="K116" t="n">
        <v>0</v>
      </c>
      <c r="L116" t="n">
        <v>0</v>
      </c>
      <c r="N116" t="inlineStr">
        <is>
          <t>d0d8dd</t>
        </is>
      </c>
      <c r="O116" t="inlineStr">
        <is>
          <t>C</t>
        </is>
      </c>
      <c r="Q116" t="n">
        <v>3</v>
      </c>
      <c r="R116" t="b">
        <v>1</v>
      </c>
      <c r="S116" t="inlineStr">
        <is>
          <t xml:space="preserve"> </t>
        </is>
      </c>
      <c r="T116" t="n">
        <v>0</v>
      </c>
    </row>
    <row r="117">
      <c r="A117" t="inlineStr">
        <is>
          <t>policy_checklist_header3</t>
        </is>
      </c>
      <c r="B117" t="n">
        <v>8</v>
      </c>
      <c r="C117" t="inlineStr">
        <is>
          <t>T</t>
        </is>
      </c>
      <c r="D117" t="n">
        <v>168</v>
      </c>
      <c r="E117" t="n">
        <v>32</v>
      </c>
      <c r="F117" t="n">
        <v>194</v>
      </c>
      <c r="G117" t="n">
        <v>37</v>
      </c>
      <c r="H117" t="inlineStr">
        <is>
          <t>custom</t>
        </is>
      </c>
      <c r="I117" t="n">
        <v>10</v>
      </c>
      <c r="J117" t="n">
        <v>1</v>
      </c>
      <c r="K117" t="n">
        <v>0</v>
      </c>
      <c r="L117" t="n">
        <v>0</v>
      </c>
      <c r="N117" t="inlineStr">
        <is>
          <t>d0d8dd</t>
        </is>
      </c>
      <c r="O117" t="inlineStr">
        <is>
          <t>C</t>
        </is>
      </c>
      <c r="Q117" t="n">
        <v>3</v>
      </c>
      <c r="R117" t="b">
        <v>1</v>
      </c>
      <c r="S117" t="inlineStr">
        <is>
          <t xml:space="preserve"> </t>
        </is>
      </c>
      <c r="T117" t="n">
        <v>0</v>
      </c>
    </row>
    <row r="118">
      <c r="A118" t="inlineStr">
        <is>
          <t>table_vline1</t>
        </is>
      </c>
      <c r="B118" t="n">
        <v>8</v>
      </c>
      <c r="C118" t="inlineStr">
        <is>
          <t>L</t>
        </is>
      </c>
      <c r="D118" t="n">
        <v>114</v>
      </c>
      <c r="E118" t="n">
        <v>30</v>
      </c>
      <c r="F118" t="n">
        <v>114</v>
      </c>
      <c r="G118" t="n">
        <v>267</v>
      </c>
      <c r="I118" t="n">
        <v>0.5</v>
      </c>
      <c r="J118" t="n">
        <v>0</v>
      </c>
      <c r="K118" t="n">
        <v>0</v>
      </c>
      <c r="L118" t="n">
        <v>0</v>
      </c>
      <c r="M118" t="inlineStr">
        <is>
          <t>FFFFFF</t>
        </is>
      </c>
      <c r="N118" t="inlineStr">
        <is>
          <t>d0d8dd</t>
        </is>
      </c>
      <c r="O118" t="inlineStr">
        <is>
          <t>L</t>
        </is>
      </c>
      <c r="Q118" t="n">
        <v>4</v>
      </c>
      <c r="R118" t="b">
        <v>0</v>
      </c>
      <c r="S118" t="inlineStr">
        <is>
          <t xml:space="preserve"> </t>
        </is>
      </c>
      <c r="T118" t="n">
        <v>0</v>
      </c>
    </row>
    <row r="119">
      <c r="A119" t="inlineStr">
        <is>
          <t>table_vline2</t>
        </is>
      </c>
      <c r="B119" t="n">
        <v>8</v>
      </c>
      <c r="C119" t="inlineStr">
        <is>
          <t>L</t>
        </is>
      </c>
      <c r="D119" t="n">
        <v>141</v>
      </c>
      <c r="E119" t="n">
        <v>30</v>
      </c>
      <c r="F119" t="n">
        <v>141</v>
      </c>
      <c r="G119" t="n">
        <v>267</v>
      </c>
      <c r="I119" t="n">
        <v>0.5</v>
      </c>
      <c r="J119" t="n">
        <v>0</v>
      </c>
      <c r="K119" t="n">
        <v>0</v>
      </c>
      <c r="L119" t="n">
        <v>0</v>
      </c>
      <c r="M119" t="inlineStr">
        <is>
          <t>FFFFFF</t>
        </is>
      </c>
      <c r="N119" t="inlineStr">
        <is>
          <t>d0d8dd</t>
        </is>
      </c>
      <c r="O119" t="inlineStr">
        <is>
          <t>L</t>
        </is>
      </c>
      <c r="Q119" t="n">
        <v>4</v>
      </c>
      <c r="R119" t="b">
        <v>0</v>
      </c>
      <c r="S119" t="inlineStr">
        <is>
          <t xml:space="preserve"> </t>
        </is>
      </c>
      <c r="T119" t="n">
        <v>0</v>
      </c>
    </row>
    <row r="120">
      <c r="A120" t="inlineStr">
        <is>
          <t>table_vline3</t>
        </is>
      </c>
      <c r="B120" t="n">
        <v>8</v>
      </c>
      <c r="C120" t="inlineStr">
        <is>
          <t>L</t>
        </is>
      </c>
      <c r="D120" t="n">
        <v>168</v>
      </c>
      <c r="E120" t="n">
        <v>30</v>
      </c>
      <c r="F120" t="n">
        <v>168</v>
      </c>
      <c r="G120" t="n">
        <v>267</v>
      </c>
      <c r="I120" t="n">
        <v>0.5</v>
      </c>
      <c r="J120" t="n">
        <v>0</v>
      </c>
      <c r="K120" t="n">
        <v>0</v>
      </c>
      <c r="L120" t="n">
        <v>0</v>
      </c>
      <c r="M120" t="inlineStr">
        <is>
          <t>FFFFFF</t>
        </is>
      </c>
      <c r="N120" t="inlineStr">
        <is>
          <t>d0d8dd</t>
        </is>
      </c>
      <c r="O120" t="inlineStr">
        <is>
          <t>L</t>
        </is>
      </c>
      <c r="Q120" t="n">
        <v>4</v>
      </c>
      <c r="R120" t="b">
        <v>0</v>
      </c>
      <c r="S120" t="inlineStr">
        <is>
          <t xml:space="preserve"> </t>
        </is>
      </c>
      <c r="T120" t="n">
        <v>0</v>
      </c>
    </row>
    <row r="121">
      <c r="A121" t="inlineStr">
        <is>
          <t>table_hline_mid</t>
        </is>
      </c>
      <c r="B121" t="n">
        <v>8</v>
      </c>
      <c r="C121" t="inlineStr">
        <is>
          <t>L</t>
        </is>
      </c>
      <c r="D121" t="n">
        <v>14</v>
      </c>
      <c r="E121" t="n">
        <v>57</v>
      </c>
      <c r="F121" t="n">
        <v>196</v>
      </c>
      <c r="G121" t="n">
        <v>57</v>
      </c>
      <c r="I121" t="n">
        <v>0.5</v>
      </c>
      <c r="J121" t="n">
        <v>0</v>
      </c>
      <c r="K121" t="n">
        <v>0</v>
      </c>
      <c r="L121" t="n">
        <v>0</v>
      </c>
      <c r="M121" t="inlineStr">
        <is>
          <t>FFFFFF</t>
        </is>
      </c>
      <c r="N121" t="inlineStr">
        <is>
          <t>d0d8dd</t>
        </is>
      </c>
      <c r="O121" t="inlineStr">
        <is>
          <t>L</t>
        </is>
      </c>
      <c r="Q121" t="n">
        <v>4</v>
      </c>
      <c r="R121" t="b">
        <v>0</v>
      </c>
      <c r="S121" t="inlineStr">
        <is>
          <t xml:space="preserve"> </t>
        </is>
      </c>
      <c r="T121" t="n">
        <v>0</v>
      </c>
    </row>
    <row r="122">
      <c r="A122" t="inlineStr">
        <is>
          <t>Policy key</t>
        </is>
      </c>
      <c r="B122" t="n">
        <v>8</v>
      </c>
      <c r="C122" t="inlineStr">
        <is>
          <t>T</t>
        </is>
      </c>
      <c r="D122" t="n">
        <v>114</v>
      </c>
      <c r="E122" t="n">
        <v>269</v>
      </c>
      <c r="F122" t="n">
        <v>196</v>
      </c>
      <c r="G122" t="n">
        <v>273</v>
      </c>
      <c r="H122" t="inlineStr">
        <is>
          <t>custom</t>
        </is>
      </c>
      <c r="I122" t="n">
        <v>10</v>
      </c>
      <c r="J122" t="n">
        <v>0</v>
      </c>
      <c r="K122" t="n">
        <v>0</v>
      </c>
      <c r="L122" t="n">
        <v>0</v>
      </c>
      <c r="N122" t="inlineStr">
        <is>
          <t>FFFFFF</t>
        </is>
      </c>
      <c r="O122" t="inlineStr">
        <is>
          <t>R</t>
        </is>
      </c>
      <c r="Q122" t="n">
        <v>2</v>
      </c>
      <c r="R122" t="b">
        <v>0</v>
      </c>
      <c r="S122" t="inlineStr">
        <is>
          <t xml:space="preserve"> </t>
        </is>
      </c>
      <c r="T122" t="n">
        <v>0</v>
      </c>
    </row>
    <row r="123">
      <c r="A123" t="inlineStr">
        <is>
          <t>policy_checklist2_text1</t>
        </is>
      </c>
      <c r="B123" t="n">
        <v>8</v>
      </c>
      <c r="C123" t="inlineStr">
        <is>
          <t>T</t>
        </is>
      </c>
      <c r="D123" t="n">
        <v>14</v>
      </c>
      <c r="E123" t="n">
        <v>59</v>
      </c>
      <c r="F123" t="n">
        <v>112</v>
      </c>
      <c r="G123" t="n">
        <v>64</v>
      </c>
      <c r="H123" t="inlineStr">
        <is>
          <t>custom</t>
        </is>
      </c>
      <c r="I123" t="n">
        <v>12</v>
      </c>
      <c r="J123" t="n">
        <v>0</v>
      </c>
      <c r="K123" t="n">
        <v>0</v>
      </c>
      <c r="L123" t="n">
        <v>0</v>
      </c>
      <c r="N123" t="inlineStr">
        <is>
          <t>d0d8dd</t>
        </is>
      </c>
      <c r="O123" t="inlineStr">
        <is>
          <t>L</t>
        </is>
      </c>
      <c r="Q123" t="n">
        <v>3</v>
      </c>
      <c r="R123" t="b">
        <v>1</v>
      </c>
      <c r="S123" t="inlineStr">
        <is>
          <t xml:space="preserve"> </t>
        </is>
      </c>
      <c r="T123" t="n">
        <v>0</v>
      </c>
    </row>
    <row r="124">
      <c r="A124" t="inlineStr">
        <is>
          <t>policy_checklist2_text1_response1</t>
        </is>
      </c>
      <c r="B124" t="n">
        <v>8</v>
      </c>
      <c r="C124" t="inlineStr">
        <is>
          <t>T</t>
        </is>
      </c>
      <c r="D124" t="n">
        <v>113</v>
      </c>
      <c r="E124" t="n">
        <v>60</v>
      </c>
      <c r="F124" t="n">
        <v>140</v>
      </c>
      <c r="G124" t="n">
        <v>63</v>
      </c>
      <c r="H124" t="inlineStr">
        <is>
          <t>dejavu</t>
        </is>
      </c>
      <c r="I124" t="n">
        <v>16</v>
      </c>
      <c r="J124" t="n">
        <v>1</v>
      </c>
      <c r="K124" t="n">
        <v>0</v>
      </c>
      <c r="L124" t="n">
        <v>0</v>
      </c>
      <c r="N124" t="inlineStr">
        <is>
          <t>d0d8dd</t>
        </is>
      </c>
      <c r="O124" t="inlineStr">
        <is>
          <t>C</t>
        </is>
      </c>
      <c r="Q124" t="n">
        <v>2</v>
      </c>
      <c r="R124" t="b">
        <v>0</v>
      </c>
      <c r="S124" t="inlineStr">
        <is>
          <t xml:space="preserve"> </t>
        </is>
      </c>
      <c r="T124" t="n">
        <v>0</v>
      </c>
    </row>
    <row r="125">
      <c r="A125" t="inlineStr">
        <is>
          <t>policy_checklist2_text1_response2</t>
        </is>
      </c>
      <c r="B125" t="n">
        <v>8</v>
      </c>
      <c r="C125" t="inlineStr">
        <is>
          <t>T</t>
        </is>
      </c>
      <c r="D125" t="n">
        <v>140</v>
      </c>
      <c r="E125" t="n">
        <v>60</v>
      </c>
      <c r="F125" t="n">
        <v>169</v>
      </c>
      <c r="G125" t="n">
        <v>63</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policy_checklist2_text1_response3</t>
        </is>
      </c>
      <c r="B126" t="n">
        <v>8</v>
      </c>
      <c r="C126" t="inlineStr">
        <is>
          <t>T</t>
        </is>
      </c>
      <c r="D126" t="n">
        <v>168</v>
      </c>
      <c r="E126" t="n">
        <v>60</v>
      </c>
      <c r="F126" t="n">
        <v>194</v>
      </c>
      <c r="G126" t="n">
        <v>63</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policy_checklist2_text2</t>
        </is>
      </c>
      <c r="B127" t="n">
        <v>8</v>
      </c>
      <c r="C127" t="inlineStr">
        <is>
          <t>T</t>
        </is>
      </c>
      <c r="D127" t="n">
        <v>14</v>
      </c>
      <c r="E127" t="n">
        <v>71</v>
      </c>
      <c r="F127" t="n">
        <v>112</v>
      </c>
      <c r="G127" t="n">
        <v>76</v>
      </c>
      <c r="H127" t="inlineStr">
        <is>
          <t>custom</t>
        </is>
      </c>
      <c r="I127" t="n">
        <v>12</v>
      </c>
      <c r="J127" t="n">
        <v>0</v>
      </c>
      <c r="K127" t="n">
        <v>0</v>
      </c>
      <c r="L127" t="n">
        <v>0</v>
      </c>
      <c r="N127" t="inlineStr">
        <is>
          <t>d0d8dd</t>
        </is>
      </c>
      <c r="O127" t="inlineStr">
        <is>
          <t>L</t>
        </is>
      </c>
      <c r="Q127" t="n">
        <v>3</v>
      </c>
      <c r="R127" t="b">
        <v>1</v>
      </c>
      <c r="S127" t="inlineStr">
        <is>
          <t xml:space="preserve"> </t>
        </is>
      </c>
      <c r="T127" t="n">
        <v>0</v>
      </c>
    </row>
    <row r="128">
      <c r="A128" t="inlineStr">
        <is>
          <t>policy_checklist2_text2_response1</t>
        </is>
      </c>
      <c r="B128" t="n">
        <v>8</v>
      </c>
      <c r="C128" t="inlineStr">
        <is>
          <t>T</t>
        </is>
      </c>
      <c r="D128" t="n">
        <v>113</v>
      </c>
      <c r="E128" t="n">
        <v>72</v>
      </c>
      <c r="F128" t="n">
        <v>140</v>
      </c>
      <c r="G128" t="n">
        <v>75</v>
      </c>
      <c r="H128" t="inlineStr">
        <is>
          <t>dejavu</t>
        </is>
      </c>
      <c r="I128" t="n">
        <v>16</v>
      </c>
      <c r="J128" t="n">
        <v>1</v>
      </c>
      <c r="K128" t="n">
        <v>0</v>
      </c>
      <c r="L128" t="n">
        <v>0</v>
      </c>
      <c r="N128" t="inlineStr">
        <is>
          <t>d0d8dd</t>
        </is>
      </c>
      <c r="O128" t="inlineStr">
        <is>
          <t>C</t>
        </is>
      </c>
      <c r="Q128" t="n">
        <v>2</v>
      </c>
      <c r="R128" t="b">
        <v>0</v>
      </c>
      <c r="S128" t="inlineStr">
        <is>
          <t xml:space="preserve"> </t>
        </is>
      </c>
      <c r="T128" t="n">
        <v>0</v>
      </c>
    </row>
    <row r="129">
      <c r="A129" t="inlineStr">
        <is>
          <t>policy_checklist2_text2_response2</t>
        </is>
      </c>
      <c r="B129" t="n">
        <v>8</v>
      </c>
      <c r="C129" t="inlineStr">
        <is>
          <t>T</t>
        </is>
      </c>
      <c r="D129" t="n">
        <v>140</v>
      </c>
      <c r="E129" t="n">
        <v>72</v>
      </c>
      <c r="F129" t="n">
        <v>169</v>
      </c>
      <c r="G129" t="n">
        <v>75</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policy_checklist2_text2_response3</t>
        </is>
      </c>
      <c r="B130" t="n">
        <v>8</v>
      </c>
      <c r="C130" t="inlineStr">
        <is>
          <t>T</t>
        </is>
      </c>
      <c r="D130" t="n">
        <v>168</v>
      </c>
      <c r="E130" t="n">
        <v>72</v>
      </c>
      <c r="F130" t="n">
        <v>194</v>
      </c>
      <c r="G130" t="n">
        <v>75</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policy_checklist2_text3</t>
        </is>
      </c>
      <c r="B131" t="n">
        <v>8</v>
      </c>
      <c r="C131" t="inlineStr">
        <is>
          <t>T</t>
        </is>
      </c>
      <c r="D131" t="n">
        <v>14</v>
      </c>
      <c r="E131" t="n">
        <v>83</v>
      </c>
      <c r="F131" t="n">
        <v>112</v>
      </c>
      <c r="G131" t="n">
        <v>88</v>
      </c>
      <c r="H131" t="inlineStr">
        <is>
          <t>custom</t>
        </is>
      </c>
      <c r="I131" t="n">
        <v>12</v>
      </c>
      <c r="J131" t="n">
        <v>0</v>
      </c>
      <c r="K131" t="n">
        <v>0</v>
      </c>
      <c r="L131" t="n">
        <v>0</v>
      </c>
      <c r="N131" t="inlineStr">
        <is>
          <t>d0d8dd</t>
        </is>
      </c>
      <c r="O131" t="inlineStr">
        <is>
          <t>L</t>
        </is>
      </c>
      <c r="Q131" t="n">
        <v>3</v>
      </c>
      <c r="R131" t="b">
        <v>1</v>
      </c>
      <c r="S131" t="inlineStr">
        <is>
          <t xml:space="preserve"> </t>
        </is>
      </c>
      <c r="T131" t="n">
        <v>0</v>
      </c>
    </row>
    <row r="132">
      <c r="A132" t="inlineStr">
        <is>
          <t>policy_checklist2_text3_response1</t>
        </is>
      </c>
      <c r="B132" t="n">
        <v>8</v>
      </c>
      <c r="C132" t="inlineStr">
        <is>
          <t>T</t>
        </is>
      </c>
      <c r="D132" t="n">
        <v>113</v>
      </c>
      <c r="E132" t="n">
        <v>84</v>
      </c>
      <c r="F132" t="n">
        <v>140</v>
      </c>
      <c r="G132" t="n">
        <v>87</v>
      </c>
      <c r="H132" t="inlineStr">
        <is>
          <t>dejavu</t>
        </is>
      </c>
      <c r="I132" t="n">
        <v>16</v>
      </c>
      <c r="J132" t="n">
        <v>1</v>
      </c>
      <c r="K132" t="n">
        <v>0</v>
      </c>
      <c r="L132" t="n">
        <v>0</v>
      </c>
      <c r="N132" t="inlineStr">
        <is>
          <t>d0d8dd</t>
        </is>
      </c>
      <c r="O132" t="inlineStr">
        <is>
          <t>C</t>
        </is>
      </c>
      <c r="Q132" t="n">
        <v>2</v>
      </c>
      <c r="R132" t="b">
        <v>0</v>
      </c>
      <c r="S132" t="inlineStr">
        <is>
          <t xml:space="preserve"> </t>
        </is>
      </c>
      <c r="T132" t="n">
        <v>0</v>
      </c>
    </row>
    <row r="133">
      <c r="A133" t="inlineStr">
        <is>
          <t>policy_checklist2_text3_response2</t>
        </is>
      </c>
      <c r="B133" t="n">
        <v>8</v>
      </c>
      <c r="C133" t="inlineStr">
        <is>
          <t>T</t>
        </is>
      </c>
      <c r="D133" t="n">
        <v>140</v>
      </c>
      <c r="E133" t="n">
        <v>84</v>
      </c>
      <c r="F133" t="n">
        <v>169</v>
      </c>
      <c r="G133" t="n">
        <v>87</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policy_checklist2_text3_response3</t>
        </is>
      </c>
      <c r="B134" t="n">
        <v>8</v>
      </c>
      <c r="C134" t="inlineStr">
        <is>
          <t>T</t>
        </is>
      </c>
      <c r="D134" t="n">
        <v>168</v>
      </c>
      <c r="E134" t="n">
        <v>84</v>
      </c>
      <c r="F134" t="n">
        <v>194</v>
      </c>
      <c r="G134" t="n">
        <v>87</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policy_checklist2_text4</t>
        </is>
      </c>
      <c r="B135" t="n">
        <v>8</v>
      </c>
      <c r="C135" t="inlineStr">
        <is>
          <t>T</t>
        </is>
      </c>
      <c r="D135" t="n">
        <v>14</v>
      </c>
      <c r="E135" t="n">
        <v>95</v>
      </c>
      <c r="F135" t="n">
        <v>112</v>
      </c>
      <c r="G135" t="n">
        <v>100</v>
      </c>
      <c r="H135" t="inlineStr">
        <is>
          <t>custom</t>
        </is>
      </c>
      <c r="I135" t="n">
        <v>12</v>
      </c>
      <c r="J135" t="n">
        <v>0</v>
      </c>
      <c r="K135" t="n">
        <v>0</v>
      </c>
      <c r="L135" t="n">
        <v>0</v>
      </c>
      <c r="N135" t="inlineStr">
        <is>
          <t>d0d8dd</t>
        </is>
      </c>
      <c r="O135" t="inlineStr">
        <is>
          <t>L</t>
        </is>
      </c>
      <c r="Q135" t="n">
        <v>3</v>
      </c>
      <c r="R135" t="b">
        <v>1</v>
      </c>
      <c r="S135" t="inlineStr">
        <is>
          <t xml:space="preserve"> </t>
        </is>
      </c>
      <c r="T135" t="n">
        <v>0</v>
      </c>
    </row>
    <row r="136">
      <c r="A136" t="inlineStr">
        <is>
          <t>policy_checklist2_text4_response1</t>
        </is>
      </c>
      <c r="B136" t="n">
        <v>8</v>
      </c>
      <c r="C136" t="inlineStr">
        <is>
          <t>T</t>
        </is>
      </c>
      <c r="D136" t="n">
        <v>113</v>
      </c>
      <c r="E136" t="n">
        <v>96</v>
      </c>
      <c r="F136" t="n">
        <v>140</v>
      </c>
      <c r="G136" t="n">
        <v>99</v>
      </c>
      <c r="H136" t="inlineStr">
        <is>
          <t>dejavu</t>
        </is>
      </c>
      <c r="I136" t="n">
        <v>16</v>
      </c>
      <c r="J136" t="n">
        <v>1</v>
      </c>
      <c r="K136" t="n">
        <v>0</v>
      </c>
      <c r="L136" t="n">
        <v>0</v>
      </c>
      <c r="N136" t="inlineStr">
        <is>
          <t>d0d8dd</t>
        </is>
      </c>
      <c r="O136" t="inlineStr">
        <is>
          <t>C</t>
        </is>
      </c>
      <c r="Q136" t="n">
        <v>2</v>
      </c>
      <c r="R136" t="b">
        <v>0</v>
      </c>
      <c r="S136" t="inlineStr">
        <is>
          <t xml:space="preserve"> </t>
        </is>
      </c>
      <c r="T136" t="n">
        <v>0</v>
      </c>
    </row>
    <row r="137">
      <c r="A137" t="inlineStr">
        <is>
          <t>policy_checklist2_text4_response2</t>
        </is>
      </c>
      <c r="B137" t="n">
        <v>8</v>
      </c>
      <c r="C137" t="inlineStr">
        <is>
          <t>T</t>
        </is>
      </c>
      <c r="D137" t="n">
        <v>140</v>
      </c>
      <c r="E137" t="n">
        <v>96</v>
      </c>
      <c r="F137" t="n">
        <v>169</v>
      </c>
      <c r="G137" t="n">
        <v>99</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policy_checklist2_text4_response3</t>
        </is>
      </c>
      <c r="B138" t="n">
        <v>8</v>
      </c>
      <c r="C138" t="inlineStr">
        <is>
          <t>T</t>
        </is>
      </c>
      <c r="D138" t="n">
        <v>168</v>
      </c>
      <c r="E138" t="n">
        <v>96</v>
      </c>
      <c r="F138" t="n">
        <v>194</v>
      </c>
      <c r="G138" t="n">
        <v>99</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policy_checklist2_text5</t>
        </is>
      </c>
      <c r="B139" t="n">
        <v>8</v>
      </c>
      <c r="C139" t="inlineStr">
        <is>
          <t>T</t>
        </is>
      </c>
      <c r="D139" t="n">
        <v>14</v>
      </c>
      <c r="E139" t="n">
        <v>107</v>
      </c>
      <c r="F139" t="n">
        <v>112</v>
      </c>
      <c r="G139" t="n">
        <v>112</v>
      </c>
      <c r="H139" t="inlineStr">
        <is>
          <t>custom</t>
        </is>
      </c>
      <c r="I139" t="n">
        <v>12</v>
      </c>
      <c r="J139" t="n">
        <v>0</v>
      </c>
      <c r="K139" t="n">
        <v>0</v>
      </c>
      <c r="L139" t="n">
        <v>0</v>
      </c>
      <c r="N139" t="inlineStr">
        <is>
          <t>d0d8dd</t>
        </is>
      </c>
      <c r="O139" t="inlineStr">
        <is>
          <t>L</t>
        </is>
      </c>
      <c r="Q139" t="n">
        <v>3</v>
      </c>
      <c r="R139" t="b">
        <v>1</v>
      </c>
      <c r="S139" t="inlineStr">
        <is>
          <t xml:space="preserve"> </t>
        </is>
      </c>
      <c r="T139" t="n">
        <v>0</v>
      </c>
    </row>
    <row r="140">
      <c r="A140" t="inlineStr">
        <is>
          <t>policy_checklist2_text5_response1</t>
        </is>
      </c>
      <c r="B140" t="n">
        <v>8</v>
      </c>
      <c r="C140" t="inlineStr">
        <is>
          <t>T</t>
        </is>
      </c>
      <c r="D140" t="n">
        <v>113</v>
      </c>
      <c r="E140" t="n">
        <v>108</v>
      </c>
      <c r="F140" t="n">
        <v>140</v>
      </c>
      <c r="G140" t="n">
        <v>111</v>
      </c>
      <c r="H140" t="inlineStr">
        <is>
          <t>dejavu</t>
        </is>
      </c>
      <c r="I140" t="n">
        <v>16</v>
      </c>
      <c r="J140" t="n">
        <v>1</v>
      </c>
      <c r="K140" t="n">
        <v>0</v>
      </c>
      <c r="L140" t="n">
        <v>0</v>
      </c>
      <c r="N140" t="inlineStr">
        <is>
          <t>d0d8dd</t>
        </is>
      </c>
      <c r="O140" t="inlineStr">
        <is>
          <t>C</t>
        </is>
      </c>
      <c r="Q140" t="n">
        <v>2</v>
      </c>
      <c r="R140" t="b">
        <v>0</v>
      </c>
      <c r="S140" t="inlineStr">
        <is>
          <t xml:space="preserve"> </t>
        </is>
      </c>
      <c r="T140" t="n">
        <v>0</v>
      </c>
    </row>
    <row r="141">
      <c r="A141" t="inlineStr">
        <is>
          <t>policy_checklist2_text5_response2</t>
        </is>
      </c>
      <c r="B141" t="n">
        <v>8</v>
      </c>
      <c r="C141" t="inlineStr">
        <is>
          <t>T</t>
        </is>
      </c>
      <c r="D141" t="n">
        <v>140</v>
      </c>
      <c r="E141" t="n">
        <v>108</v>
      </c>
      <c r="F141" t="n">
        <v>169</v>
      </c>
      <c r="G141" t="n">
        <v>111</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policy_checklist2_text5_response3</t>
        </is>
      </c>
      <c r="B142" t="n">
        <v>8</v>
      </c>
      <c r="C142" t="inlineStr">
        <is>
          <t>T</t>
        </is>
      </c>
      <c r="D142" t="n">
        <v>168</v>
      </c>
      <c r="E142" t="n">
        <v>108</v>
      </c>
      <c r="F142" t="n">
        <v>194</v>
      </c>
      <c r="G142" t="n">
        <v>111</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policy_checklist2_text6</t>
        </is>
      </c>
      <c r="B143" t="n">
        <v>8</v>
      </c>
      <c r="C143" t="inlineStr">
        <is>
          <t>T</t>
        </is>
      </c>
      <c r="D143" t="n">
        <v>14</v>
      </c>
      <c r="E143" t="n">
        <v>119</v>
      </c>
      <c r="F143" t="n">
        <v>112</v>
      </c>
      <c r="G143" t="n">
        <v>124</v>
      </c>
      <c r="H143" t="inlineStr">
        <is>
          <t>custom</t>
        </is>
      </c>
      <c r="I143" t="n">
        <v>12</v>
      </c>
      <c r="J143" t="n">
        <v>0</v>
      </c>
      <c r="K143" t="n">
        <v>0</v>
      </c>
      <c r="L143" t="n">
        <v>0</v>
      </c>
      <c r="N143" t="inlineStr">
        <is>
          <t>d0d8dd</t>
        </is>
      </c>
      <c r="O143" t="inlineStr">
        <is>
          <t>L</t>
        </is>
      </c>
      <c r="Q143" t="n">
        <v>3</v>
      </c>
      <c r="R143" t="b">
        <v>1</v>
      </c>
      <c r="S143" t="inlineStr">
        <is>
          <t xml:space="preserve"> </t>
        </is>
      </c>
      <c r="T143" t="n">
        <v>0</v>
      </c>
    </row>
    <row r="144">
      <c r="A144" t="inlineStr">
        <is>
          <t>policy_checklist2_text6_response1</t>
        </is>
      </c>
      <c r="B144" t="n">
        <v>8</v>
      </c>
      <c r="C144" t="inlineStr">
        <is>
          <t>T</t>
        </is>
      </c>
      <c r="D144" t="n">
        <v>113</v>
      </c>
      <c r="E144" t="n">
        <v>120</v>
      </c>
      <c r="F144" t="n">
        <v>140</v>
      </c>
      <c r="G144" t="n">
        <v>123</v>
      </c>
      <c r="H144" t="inlineStr">
        <is>
          <t>dejavu</t>
        </is>
      </c>
      <c r="I144" t="n">
        <v>16</v>
      </c>
      <c r="J144" t="n">
        <v>1</v>
      </c>
      <c r="K144" t="n">
        <v>0</v>
      </c>
      <c r="L144" t="n">
        <v>0</v>
      </c>
      <c r="N144" t="inlineStr">
        <is>
          <t>d0d8dd</t>
        </is>
      </c>
      <c r="O144" t="inlineStr">
        <is>
          <t>C</t>
        </is>
      </c>
      <c r="Q144" t="n">
        <v>2</v>
      </c>
      <c r="R144" t="b">
        <v>0</v>
      </c>
      <c r="S144" t="inlineStr">
        <is>
          <t xml:space="preserve"> </t>
        </is>
      </c>
      <c r="T144" t="n">
        <v>0</v>
      </c>
    </row>
    <row r="145">
      <c r="A145" t="inlineStr">
        <is>
          <t>policy_checklist2_text6_response2</t>
        </is>
      </c>
      <c r="B145" t="n">
        <v>8</v>
      </c>
      <c r="C145" t="inlineStr">
        <is>
          <t>T</t>
        </is>
      </c>
      <c r="D145" t="n">
        <v>140</v>
      </c>
      <c r="E145" t="n">
        <v>120</v>
      </c>
      <c r="F145" t="n">
        <v>169</v>
      </c>
      <c r="G145" t="n">
        <v>123</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policy_checklist2_text6_response3</t>
        </is>
      </c>
      <c r="B146" t="n">
        <v>8</v>
      </c>
      <c r="C146" t="inlineStr">
        <is>
          <t>T</t>
        </is>
      </c>
      <c r="D146" t="n">
        <v>168</v>
      </c>
      <c r="E146" t="n">
        <v>120</v>
      </c>
      <c r="F146" t="n">
        <v>194</v>
      </c>
      <c r="G146" t="n">
        <v>123</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policy_checklist2_text7</t>
        </is>
      </c>
      <c r="B147" t="n">
        <v>8</v>
      </c>
      <c r="C147" t="inlineStr">
        <is>
          <t>T</t>
        </is>
      </c>
      <c r="D147" t="n">
        <v>14</v>
      </c>
      <c r="E147" t="n">
        <v>131</v>
      </c>
      <c r="F147" t="n">
        <v>112</v>
      </c>
      <c r="G147" t="n">
        <v>136</v>
      </c>
      <c r="H147" t="inlineStr">
        <is>
          <t>custom</t>
        </is>
      </c>
      <c r="I147" t="n">
        <v>12</v>
      </c>
      <c r="J147" t="n">
        <v>0</v>
      </c>
      <c r="K147" t="n">
        <v>0</v>
      </c>
      <c r="L147" t="n">
        <v>0</v>
      </c>
      <c r="N147" t="inlineStr">
        <is>
          <t>d0d8dd</t>
        </is>
      </c>
      <c r="O147" t="inlineStr">
        <is>
          <t>L</t>
        </is>
      </c>
      <c r="Q147" t="n">
        <v>3</v>
      </c>
      <c r="R147" t="b">
        <v>1</v>
      </c>
      <c r="S147" t="inlineStr">
        <is>
          <t xml:space="preserve"> </t>
        </is>
      </c>
      <c r="T147" t="n">
        <v>0</v>
      </c>
    </row>
    <row r="148">
      <c r="A148" t="inlineStr">
        <is>
          <t>policy_checklist2_text7_response1</t>
        </is>
      </c>
      <c r="B148" t="n">
        <v>8</v>
      </c>
      <c r="C148" t="inlineStr">
        <is>
          <t>T</t>
        </is>
      </c>
      <c r="D148" t="n">
        <v>113</v>
      </c>
      <c r="E148" t="n">
        <v>132</v>
      </c>
      <c r="F148" t="n">
        <v>140</v>
      </c>
      <c r="G148" t="n">
        <v>135</v>
      </c>
      <c r="H148" t="inlineStr">
        <is>
          <t>dejavu</t>
        </is>
      </c>
      <c r="I148" t="n">
        <v>16</v>
      </c>
      <c r="J148" t="n">
        <v>1</v>
      </c>
      <c r="K148" t="n">
        <v>0</v>
      </c>
      <c r="L148" t="n">
        <v>0</v>
      </c>
      <c r="N148" t="inlineStr">
        <is>
          <t>d0d8dd</t>
        </is>
      </c>
      <c r="O148" t="inlineStr">
        <is>
          <t>C</t>
        </is>
      </c>
      <c r="Q148" t="n">
        <v>2</v>
      </c>
      <c r="R148" t="b">
        <v>0</v>
      </c>
      <c r="S148" t="inlineStr">
        <is>
          <t xml:space="preserve"> </t>
        </is>
      </c>
      <c r="T148" t="n">
        <v>0</v>
      </c>
    </row>
    <row r="149">
      <c r="A149" t="inlineStr">
        <is>
          <t>policy_checklist2_text7_response2</t>
        </is>
      </c>
      <c r="B149" t="n">
        <v>8</v>
      </c>
      <c r="C149" t="inlineStr">
        <is>
          <t>T</t>
        </is>
      </c>
      <c r="D149" t="n">
        <v>140</v>
      </c>
      <c r="E149" t="n">
        <v>132</v>
      </c>
      <c r="F149" t="n">
        <v>169</v>
      </c>
      <c r="G149" t="n">
        <v>135</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policy_checklist2_text7_response3</t>
        </is>
      </c>
      <c r="B150" t="n">
        <v>8</v>
      </c>
      <c r="C150" t="inlineStr">
        <is>
          <t>T</t>
        </is>
      </c>
      <c r="D150" t="n">
        <v>168</v>
      </c>
      <c r="E150" t="n">
        <v>132</v>
      </c>
      <c r="F150" t="n">
        <v>194</v>
      </c>
      <c r="G150" t="n">
        <v>135</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policy_checklist2_text8</t>
        </is>
      </c>
      <c r="B151" t="n">
        <v>8</v>
      </c>
      <c r="C151" t="inlineStr">
        <is>
          <t>T</t>
        </is>
      </c>
      <c r="D151" t="n">
        <v>14</v>
      </c>
      <c r="E151" t="n">
        <v>143</v>
      </c>
      <c r="F151" t="n">
        <v>112</v>
      </c>
      <c r="G151" t="n">
        <v>148</v>
      </c>
      <c r="H151" t="inlineStr">
        <is>
          <t>custom</t>
        </is>
      </c>
      <c r="I151" t="n">
        <v>12</v>
      </c>
      <c r="J151" t="n">
        <v>0</v>
      </c>
      <c r="K151" t="n">
        <v>0</v>
      </c>
      <c r="L151" t="n">
        <v>0</v>
      </c>
      <c r="N151" t="inlineStr">
        <is>
          <t>d0d8dd</t>
        </is>
      </c>
      <c r="O151" t="inlineStr">
        <is>
          <t>L</t>
        </is>
      </c>
      <c r="Q151" t="n">
        <v>3</v>
      </c>
      <c r="R151" t="b">
        <v>1</v>
      </c>
      <c r="S151" t="inlineStr">
        <is>
          <t xml:space="preserve"> </t>
        </is>
      </c>
      <c r="T151" t="n">
        <v>0</v>
      </c>
    </row>
    <row r="152">
      <c r="A152" t="inlineStr">
        <is>
          <t>policy_checklist2_text8_response1</t>
        </is>
      </c>
      <c r="B152" t="n">
        <v>8</v>
      </c>
      <c r="C152" t="inlineStr">
        <is>
          <t>T</t>
        </is>
      </c>
      <c r="D152" t="n">
        <v>113</v>
      </c>
      <c r="E152" t="n">
        <v>144</v>
      </c>
      <c r="F152" t="n">
        <v>140</v>
      </c>
      <c r="G152" t="n">
        <v>147</v>
      </c>
      <c r="H152" t="inlineStr">
        <is>
          <t>dejavu</t>
        </is>
      </c>
      <c r="I152" t="n">
        <v>16</v>
      </c>
      <c r="J152" t="n">
        <v>1</v>
      </c>
      <c r="K152" t="n">
        <v>0</v>
      </c>
      <c r="L152" t="n">
        <v>0</v>
      </c>
      <c r="N152" t="inlineStr">
        <is>
          <t>d0d8dd</t>
        </is>
      </c>
      <c r="O152" t="inlineStr">
        <is>
          <t>C</t>
        </is>
      </c>
      <c r="Q152" t="n">
        <v>2</v>
      </c>
      <c r="R152" t="b">
        <v>0</v>
      </c>
      <c r="S152" t="inlineStr">
        <is>
          <t xml:space="preserve"> </t>
        </is>
      </c>
      <c r="T152" t="n">
        <v>0</v>
      </c>
    </row>
    <row r="153">
      <c r="A153" t="inlineStr">
        <is>
          <t>policy_checklist2_text8_response2</t>
        </is>
      </c>
      <c r="B153" t="n">
        <v>8</v>
      </c>
      <c r="C153" t="inlineStr">
        <is>
          <t>T</t>
        </is>
      </c>
      <c r="D153" t="n">
        <v>140</v>
      </c>
      <c r="E153" t="n">
        <v>144</v>
      </c>
      <c r="F153" t="n">
        <v>169</v>
      </c>
      <c r="G153" t="n">
        <v>147</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policy_checklist2_text8_response3</t>
        </is>
      </c>
      <c r="B154" t="n">
        <v>8</v>
      </c>
      <c r="C154" t="inlineStr">
        <is>
          <t>T</t>
        </is>
      </c>
      <c r="D154" t="n">
        <v>168</v>
      </c>
      <c r="E154" t="n">
        <v>144</v>
      </c>
      <c r="F154" t="n">
        <v>194</v>
      </c>
      <c r="G154" t="n">
        <v>147</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policy_checklist2_text9</t>
        </is>
      </c>
      <c r="B155" t="n">
        <v>8</v>
      </c>
      <c r="C155" t="inlineStr">
        <is>
          <t>T</t>
        </is>
      </c>
      <c r="D155" t="n">
        <v>14</v>
      </c>
      <c r="E155" t="n">
        <v>155</v>
      </c>
      <c r="F155" t="n">
        <v>112</v>
      </c>
      <c r="G155" t="n">
        <v>160</v>
      </c>
      <c r="H155" t="inlineStr">
        <is>
          <t>custom</t>
        </is>
      </c>
      <c r="I155" t="n">
        <v>12</v>
      </c>
      <c r="J155" t="n">
        <v>0</v>
      </c>
      <c r="K155" t="n">
        <v>0</v>
      </c>
      <c r="L155" t="n">
        <v>0</v>
      </c>
      <c r="N155" t="inlineStr">
        <is>
          <t>d0d8dd</t>
        </is>
      </c>
      <c r="O155" t="inlineStr">
        <is>
          <t>L</t>
        </is>
      </c>
      <c r="Q155" t="n">
        <v>3</v>
      </c>
      <c r="R155" t="b">
        <v>1</v>
      </c>
      <c r="S155" t="inlineStr">
        <is>
          <t xml:space="preserve"> </t>
        </is>
      </c>
      <c r="T155" t="n">
        <v>0</v>
      </c>
    </row>
    <row r="156">
      <c r="A156" t="inlineStr">
        <is>
          <t>policy_checklist2_text9_response1</t>
        </is>
      </c>
      <c r="B156" t="n">
        <v>8</v>
      </c>
      <c r="C156" t="inlineStr">
        <is>
          <t>T</t>
        </is>
      </c>
      <c r="D156" t="n">
        <v>113</v>
      </c>
      <c r="E156" t="n">
        <v>156</v>
      </c>
      <c r="F156" t="n">
        <v>140</v>
      </c>
      <c r="G156" t="n">
        <v>159</v>
      </c>
      <c r="H156" t="inlineStr">
        <is>
          <t>dejavu</t>
        </is>
      </c>
      <c r="I156" t="n">
        <v>16</v>
      </c>
      <c r="J156" t="n">
        <v>1</v>
      </c>
      <c r="K156" t="n">
        <v>0</v>
      </c>
      <c r="L156" t="n">
        <v>0</v>
      </c>
      <c r="N156" t="inlineStr">
        <is>
          <t>d0d8dd</t>
        </is>
      </c>
      <c r="O156" t="inlineStr">
        <is>
          <t>C</t>
        </is>
      </c>
      <c r="Q156" t="n">
        <v>2</v>
      </c>
      <c r="R156" t="b">
        <v>0</v>
      </c>
      <c r="S156" t="inlineStr">
        <is>
          <t xml:space="preserve"> </t>
        </is>
      </c>
      <c r="T156" t="n">
        <v>0</v>
      </c>
    </row>
    <row r="157">
      <c r="A157" t="inlineStr">
        <is>
          <t>policy_checklist2_text9_response2</t>
        </is>
      </c>
      <c r="B157" t="n">
        <v>8</v>
      </c>
      <c r="C157" t="inlineStr">
        <is>
          <t>T</t>
        </is>
      </c>
      <c r="D157" t="n">
        <v>140</v>
      </c>
      <c r="E157" t="n">
        <v>156</v>
      </c>
      <c r="F157" t="n">
        <v>169</v>
      </c>
      <c r="G157" t="n">
        <v>159</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policy_checklist2_text9_response3</t>
        </is>
      </c>
      <c r="B158" t="n">
        <v>8</v>
      </c>
      <c r="C158" t="inlineStr">
        <is>
          <t>T</t>
        </is>
      </c>
      <c r="D158" t="n">
        <v>168</v>
      </c>
      <c r="E158" t="n">
        <v>156</v>
      </c>
      <c r="F158" t="n">
        <v>194</v>
      </c>
      <c r="G158" t="n">
        <v>159</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policy_checklist2_text10</t>
        </is>
      </c>
      <c r="B159" t="n">
        <v>8</v>
      </c>
      <c r="C159" t="inlineStr">
        <is>
          <t>T</t>
        </is>
      </c>
      <c r="D159" t="n">
        <v>14</v>
      </c>
      <c r="E159" t="n">
        <v>167</v>
      </c>
      <c r="F159" t="n">
        <v>112</v>
      </c>
      <c r="G159" t="n">
        <v>172</v>
      </c>
      <c r="H159" t="inlineStr">
        <is>
          <t>custom</t>
        </is>
      </c>
      <c r="I159" t="n">
        <v>12</v>
      </c>
      <c r="J159" t="n">
        <v>0</v>
      </c>
      <c r="K159" t="n">
        <v>0</v>
      </c>
      <c r="L159" t="n">
        <v>0</v>
      </c>
      <c r="N159" t="inlineStr">
        <is>
          <t>d0d8dd</t>
        </is>
      </c>
      <c r="O159" t="inlineStr">
        <is>
          <t>L</t>
        </is>
      </c>
      <c r="Q159" t="n">
        <v>3</v>
      </c>
      <c r="R159" t="b">
        <v>1</v>
      </c>
      <c r="S159" t="inlineStr">
        <is>
          <t xml:space="preserve"> </t>
        </is>
      </c>
      <c r="T159" t="n">
        <v>0</v>
      </c>
    </row>
    <row r="160">
      <c r="A160" t="inlineStr">
        <is>
          <t>policy_checklist2_text10_response1</t>
        </is>
      </c>
      <c r="B160" t="n">
        <v>8</v>
      </c>
      <c r="C160" t="inlineStr">
        <is>
          <t>T</t>
        </is>
      </c>
      <c r="D160" t="n">
        <v>113</v>
      </c>
      <c r="E160" t="n">
        <v>168</v>
      </c>
      <c r="F160" t="n">
        <v>140</v>
      </c>
      <c r="G160" t="n">
        <v>171</v>
      </c>
      <c r="H160" t="inlineStr">
        <is>
          <t>dejavu</t>
        </is>
      </c>
      <c r="I160" t="n">
        <v>16</v>
      </c>
      <c r="J160" t="n">
        <v>1</v>
      </c>
      <c r="K160" t="n">
        <v>0</v>
      </c>
      <c r="L160" t="n">
        <v>0</v>
      </c>
      <c r="N160" t="inlineStr">
        <is>
          <t>d0d8dd</t>
        </is>
      </c>
      <c r="O160" t="inlineStr">
        <is>
          <t>C</t>
        </is>
      </c>
      <c r="Q160" t="n">
        <v>2</v>
      </c>
      <c r="R160" t="b">
        <v>0</v>
      </c>
      <c r="S160" t="inlineStr">
        <is>
          <t xml:space="preserve"> </t>
        </is>
      </c>
      <c r="T160" t="n">
        <v>0</v>
      </c>
    </row>
    <row r="161">
      <c r="A161" t="inlineStr">
        <is>
          <t>policy_checklist2_text10_response2</t>
        </is>
      </c>
      <c r="B161" t="n">
        <v>8</v>
      </c>
      <c r="C161" t="inlineStr">
        <is>
          <t>T</t>
        </is>
      </c>
      <c r="D161" t="n">
        <v>140</v>
      </c>
      <c r="E161" t="n">
        <v>168</v>
      </c>
      <c r="F161" t="n">
        <v>169</v>
      </c>
      <c r="G161" t="n">
        <v>171</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policy_checklist2_text10_response3</t>
        </is>
      </c>
      <c r="B162" t="n">
        <v>8</v>
      </c>
      <c r="C162" t="inlineStr">
        <is>
          <t>T</t>
        </is>
      </c>
      <c r="D162" t="n">
        <v>168</v>
      </c>
      <c r="E162" t="n">
        <v>168</v>
      </c>
      <c r="F162" t="n">
        <v>194</v>
      </c>
      <c r="G162" t="n">
        <v>171</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policy_checklist2_text11</t>
        </is>
      </c>
      <c r="B163" t="n">
        <v>8</v>
      </c>
      <c r="C163" t="inlineStr">
        <is>
          <t>T</t>
        </is>
      </c>
      <c r="D163" t="n">
        <v>14</v>
      </c>
      <c r="E163" t="n">
        <v>179</v>
      </c>
      <c r="F163" t="n">
        <v>112</v>
      </c>
      <c r="G163" t="n">
        <v>184</v>
      </c>
      <c r="H163" t="inlineStr">
        <is>
          <t>custom</t>
        </is>
      </c>
      <c r="I163" t="n">
        <v>12</v>
      </c>
      <c r="J163" t="n">
        <v>0</v>
      </c>
      <c r="K163" t="n">
        <v>0</v>
      </c>
      <c r="L163" t="n">
        <v>0</v>
      </c>
      <c r="N163" t="inlineStr">
        <is>
          <t>d0d8dd</t>
        </is>
      </c>
      <c r="O163" t="inlineStr">
        <is>
          <t>L</t>
        </is>
      </c>
      <c r="Q163" t="n">
        <v>3</v>
      </c>
      <c r="R163" t="b">
        <v>1</v>
      </c>
      <c r="S163" t="inlineStr">
        <is>
          <t xml:space="preserve"> </t>
        </is>
      </c>
      <c r="T163" t="n">
        <v>0</v>
      </c>
    </row>
    <row r="164">
      <c r="A164" t="inlineStr">
        <is>
          <t>policy_checklist2_text11_response1</t>
        </is>
      </c>
      <c r="B164" t="n">
        <v>8</v>
      </c>
      <c r="C164" t="inlineStr">
        <is>
          <t>T</t>
        </is>
      </c>
      <c r="D164" t="n">
        <v>113</v>
      </c>
      <c r="E164" t="n">
        <v>180</v>
      </c>
      <c r="F164" t="n">
        <v>140</v>
      </c>
      <c r="G164" t="n">
        <v>183</v>
      </c>
      <c r="H164" t="inlineStr">
        <is>
          <t>dejavu</t>
        </is>
      </c>
      <c r="I164" t="n">
        <v>16</v>
      </c>
      <c r="J164" t="n">
        <v>1</v>
      </c>
      <c r="K164" t="n">
        <v>0</v>
      </c>
      <c r="L164" t="n">
        <v>0</v>
      </c>
      <c r="N164" t="inlineStr">
        <is>
          <t>d0d8dd</t>
        </is>
      </c>
      <c r="O164" t="inlineStr">
        <is>
          <t>C</t>
        </is>
      </c>
      <c r="Q164" t="n">
        <v>2</v>
      </c>
      <c r="R164" t="b">
        <v>0</v>
      </c>
      <c r="S164" t="inlineStr">
        <is>
          <t xml:space="preserve"> </t>
        </is>
      </c>
      <c r="T164" t="n">
        <v>0</v>
      </c>
    </row>
    <row r="165">
      <c r="A165" t="inlineStr">
        <is>
          <t>policy_checklist2_text11_response2</t>
        </is>
      </c>
      <c r="B165" t="n">
        <v>8</v>
      </c>
      <c r="C165" t="inlineStr">
        <is>
          <t>T</t>
        </is>
      </c>
      <c r="D165" t="n">
        <v>140</v>
      </c>
      <c r="E165" t="n">
        <v>180</v>
      </c>
      <c r="F165" t="n">
        <v>169</v>
      </c>
      <c r="G165" t="n">
        <v>183</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policy_checklist2_text11_response3</t>
        </is>
      </c>
      <c r="B166" t="n">
        <v>8</v>
      </c>
      <c r="C166" t="inlineStr">
        <is>
          <t>T</t>
        </is>
      </c>
      <c r="D166" t="n">
        <v>168</v>
      </c>
      <c r="E166" t="n">
        <v>180</v>
      </c>
      <c r="F166" t="n">
        <v>194</v>
      </c>
      <c r="G166" t="n">
        <v>183</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policy_checklist2_text12</t>
        </is>
      </c>
      <c r="B167" t="n">
        <v>8</v>
      </c>
      <c r="C167" t="inlineStr">
        <is>
          <t>T</t>
        </is>
      </c>
      <c r="D167" t="n">
        <v>14</v>
      </c>
      <c r="E167" t="n">
        <v>191</v>
      </c>
      <c r="F167" t="n">
        <v>112</v>
      </c>
      <c r="G167" t="n">
        <v>196</v>
      </c>
      <c r="H167" t="inlineStr">
        <is>
          <t>custom</t>
        </is>
      </c>
      <c r="I167" t="n">
        <v>12</v>
      </c>
      <c r="J167" t="n">
        <v>0</v>
      </c>
      <c r="K167" t="n">
        <v>0</v>
      </c>
      <c r="L167" t="n">
        <v>0</v>
      </c>
      <c r="N167" t="inlineStr">
        <is>
          <t>d0d8dd</t>
        </is>
      </c>
      <c r="O167" t="inlineStr">
        <is>
          <t>L</t>
        </is>
      </c>
      <c r="Q167" t="n">
        <v>3</v>
      </c>
      <c r="R167" t="b">
        <v>1</v>
      </c>
      <c r="S167" t="inlineStr">
        <is>
          <t xml:space="preserve"> </t>
        </is>
      </c>
      <c r="T167" t="n">
        <v>0</v>
      </c>
    </row>
    <row r="168">
      <c r="A168" t="inlineStr">
        <is>
          <t>policy_checklist2_text12_response1</t>
        </is>
      </c>
      <c r="B168" t="n">
        <v>8</v>
      </c>
      <c r="C168" t="inlineStr">
        <is>
          <t>T</t>
        </is>
      </c>
      <c r="D168" t="n">
        <v>113</v>
      </c>
      <c r="E168" t="n">
        <v>192</v>
      </c>
      <c r="F168" t="n">
        <v>140</v>
      </c>
      <c r="G168" t="n">
        <v>195</v>
      </c>
      <c r="H168" t="inlineStr">
        <is>
          <t>dejavu</t>
        </is>
      </c>
      <c r="I168" t="n">
        <v>16</v>
      </c>
      <c r="J168" t="n">
        <v>1</v>
      </c>
      <c r="K168" t="n">
        <v>0</v>
      </c>
      <c r="L168" t="n">
        <v>0</v>
      </c>
      <c r="N168" t="inlineStr">
        <is>
          <t>d0d8dd</t>
        </is>
      </c>
      <c r="O168" t="inlineStr">
        <is>
          <t>C</t>
        </is>
      </c>
      <c r="Q168" t="n">
        <v>2</v>
      </c>
      <c r="R168" t="b">
        <v>0</v>
      </c>
      <c r="S168" t="inlineStr">
        <is>
          <t xml:space="preserve"> </t>
        </is>
      </c>
      <c r="T168" t="n">
        <v>0</v>
      </c>
    </row>
    <row r="169">
      <c r="A169" t="inlineStr">
        <is>
          <t>policy_checklist2_text12_response2</t>
        </is>
      </c>
      <c r="B169" t="n">
        <v>8</v>
      </c>
      <c r="C169" t="inlineStr">
        <is>
          <t>T</t>
        </is>
      </c>
      <c r="D169" t="n">
        <v>140</v>
      </c>
      <c r="E169" t="n">
        <v>192</v>
      </c>
      <c r="F169" t="n">
        <v>169</v>
      </c>
      <c r="G169" t="n">
        <v>195</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policy_checklist2_text12_response3</t>
        </is>
      </c>
      <c r="B170" t="n">
        <v>8</v>
      </c>
      <c r="C170" t="inlineStr">
        <is>
          <t>T</t>
        </is>
      </c>
      <c r="D170" t="n">
        <v>168</v>
      </c>
      <c r="E170" t="n">
        <v>192</v>
      </c>
      <c r="F170" t="n">
        <v>194</v>
      </c>
      <c r="G170" t="n">
        <v>195</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policy_checklist2_text13</t>
        </is>
      </c>
      <c r="B171" t="n">
        <v>8</v>
      </c>
      <c r="C171" t="inlineStr">
        <is>
          <t>T</t>
        </is>
      </c>
      <c r="D171" t="n">
        <v>14</v>
      </c>
      <c r="E171" t="n">
        <v>203</v>
      </c>
      <c r="F171" t="n">
        <v>112</v>
      </c>
      <c r="G171" t="n">
        <v>208</v>
      </c>
      <c r="H171" t="inlineStr">
        <is>
          <t>custom</t>
        </is>
      </c>
      <c r="I171" t="n">
        <v>12</v>
      </c>
      <c r="J171" t="n">
        <v>0</v>
      </c>
      <c r="K171" t="n">
        <v>0</v>
      </c>
      <c r="L171" t="n">
        <v>0</v>
      </c>
      <c r="N171" t="inlineStr">
        <is>
          <t>d0d8dd</t>
        </is>
      </c>
      <c r="O171" t="inlineStr">
        <is>
          <t>L</t>
        </is>
      </c>
      <c r="Q171" t="n">
        <v>3</v>
      </c>
      <c r="R171" t="b">
        <v>1</v>
      </c>
      <c r="S171" t="inlineStr">
        <is>
          <t xml:space="preserve"> </t>
        </is>
      </c>
      <c r="T171" t="n">
        <v>0</v>
      </c>
    </row>
    <row r="172">
      <c r="A172" t="inlineStr">
        <is>
          <t>policy_checklist2_text13_response1</t>
        </is>
      </c>
      <c r="B172" t="n">
        <v>8</v>
      </c>
      <c r="C172" t="inlineStr">
        <is>
          <t>T</t>
        </is>
      </c>
      <c r="D172" t="n">
        <v>113</v>
      </c>
      <c r="E172" t="n">
        <v>204</v>
      </c>
      <c r="F172" t="n">
        <v>140</v>
      </c>
      <c r="G172" t="n">
        <v>207</v>
      </c>
      <c r="H172" t="inlineStr">
        <is>
          <t>dejavu</t>
        </is>
      </c>
      <c r="I172" t="n">
        <v>16</v>
      </c>
      <c r="J172" t="n">
        <v>1</v>
      </c>
      <c r="K172" t="n">
        <v>0</v>
      </c>
      <c r="L172" t="n">
        <v>0</v>
      </c>
      <c r="N172" t="inlineStr">
        <is>
          <t>d0d8dd</t>
        </is>
      </c>
      <c r="O172" t="inlineStr">
        <is>
          <t>C</t>
        </is>
      </c>
      <c r="Q172" t="n">
        <v>2</v>
      </c>
      <c r="R172" t="b">
        <v>0</v>
      </c>
      <c r="S172" t="inlineStr">
        <is>
          <t xml:space="preserve"> </t>
        </is>
      </c>
      <c r="T172" t="n">
        <v>0</v>
      </c>
    </row>
    <row r="173">
      <c r="A173" t="inlineStr">
        <is>
          <t>policy_checklist2_text13_response2</t>
        </is>
      </c>
      <c r="B173" t="n">
        <v>8</v>
      </c>
      <c r="C173" t="inlineStr">
        <is>
          <t>T</t>
        </is>
      </c>
      <c r="D173" t="n">
        <v>140</v>
      </c>
      <c r="E173" t="n">
        <v>204</v>
      </c>
      <c r="F173" t="n">
        <v>169</v>
      </c>
      <c r="G173" t="n">
        <v>207</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policy_checklist2_text13_response3</t>
        </is>
      </c>
      <c r="B174" t="n">
        <v>8</v>
      </c>
      <c r="C174" t="inlineStr">
        <is>
          <t>T</t>
        </is>
      </c>
      <c r="D174" t="n">
        <v>168</v>
      </c>
      <c r="E174" t="n">
        <v>204</v>
      </c>
      <c r="F174" t="n">
        <v>194</v>
      </c>
      <c r="G174" t="n">
        <v>207</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policy_checklist2_text14</t>
        </is>
      </c>
      <c r="B175" t="n">
        <v>8</v>
      </c>
      <c r="C175" t="inlineStr">
        <is>
          <t>T</t>
        </is>
      </c>
      <c r="D175" t="n">
        <v>14</v>
      </c>
      <c r="E175" t="n">
        <v>215</v>
      </c>
      <c r="F175" t="n">
        <v>112</v>
      </c>
      <c r="G175" t="n">
        <v>220</v>
      </c>
      <c r="H175" t="inlineStr">
        <is>
          <t>custom</t>
        </is>
      </c>
      <c r="I175" t="n">
        <v>12</v>
      </c>
      <c r="J175" t="n">
        <v>0</v>
      </c>
      <c r="K175" t="n">
        <v>0</v>
      </c>
      <c r="L175" t="n">
        <v>0</v>
      </c>
      <c r="N175" t="inlineStr">
        <is>
          <t>d0d8dd</t>
        </is>
      </c>
      <c r="O175" t="inlineStr">
        <is>
          <t>L</t>
        </is>
      </c>
      <c r="Q175" t="n">
        <v>3</v>
      </c>
      <c r="R175" t="b">
        <v>1</v>
      </c>
      <c r="S175" t="inlineStr">
        <is>
          <t xml:space="preserve"> </t>
        </is>
      </c>
      <c r="T175" t="n">
        <v>0</v>
      </c>
    </row>
    <row r="176">
      <c r="A176" t="inlineStr">
        <is>
          <t>policy_checklist2_text14_response1</t>
        </is>
      </c>
      <c r="B176" t="n">
        <v>8</v>
      </c>
      <c r="C176" t="inlineStr">
        <is>
          <t>T</t>
        </is>
      </c>
      <c r="D176" t="n">
        <v>113</v>
      </c>
      <c r="E176" t="n">
        <v>216</v>
      </c>
      <c r="F176" t="n">
        <v>140</v>
      </c>
      <c r="G176" t="n">
        <v>219</v>
      </c>
      <c r="H176" t="inlineStr">
        <is>
          <t>dejavu</t>
        </is>
      </c>
      <c r="I176" t="n">
        <v>16</v>
      </c>
      <c r="J176" t="n">
        <v>1</v>
      </c>
      <c r="K176" t="n">
        <v>0</v>
      </c>
      <c r="L176" t="n">
        <v>0</v>
      </c>
      <c r="N176" t="inlineStr">
        <is>
          <t>d0d8dd</t>
        </is>
      </c>
      <c r="O176" t="inlineStr">
        <is>
          <t>C</t>
        </is>
      </c>
      <c r="Q176" t="n">
        <v>2</v>
      </c>
      <c r="R176" t="b">
        <v>0</v>
      </c>
      <c r="S176" t="inlineStr">
        <is>
          <t xml:space="preserve"> </t>
        </is>
      </c>
      <c r="T176" t="n">
        <v>0</v>
      </c>
    </row>
    <row r="177">
      <c r="A177" t="inlineStr">
        <is>
          <t>policy_checklist2_text14_response2</t>
        </is>
      </c>
      <c r="B177" t="n">
        <v>8</v>
      </c>
      <c r="C177" t="inlineStr">
        <is>
          <t>T</t>
        </is>
      </c>
      <c r="D177" t="n">
        <v>140</v>
      </c>
      <c r="E177" t="n">
        <v>216</v>
      </c>
      <c r="F177" t="n">
        <v>169</v>
      </c>
      <c r="G177" t="n">
        <v>219</v>
      </c>
      <c r="H177" t="inlineStr">
        <is>
          <t>dejavu</t>
        </is>
      </c>
      <c r="I177" t="n">
        <v>16</v>
      </c>
      <c r="J177" t="n">
        <v>1</v>
      </c>
      <c r="K177" t="n">
        <v>0</v>
      </c>
      <c r="L177" t="n">
        <v>0</v>
      </c>
      <c r="N177" t="inlineStr">
        <is>
          <t>d0d8dd</t>
        </is>
      </c>
      <c r="O177" t="inlineStr">
        <is>
          <t>C</t>
        </is>
      </c>
      <c r="Q177" t="n">
        <v>2</v>
      </c>
      <c r="R177" t="b">
        <v>0</v>
      </c>
      <c r="S177" t="inlineStr">
        <is>
          <t xml:space="preserve"> </t>
        </is>
      </c>
      <c r="T177" t="n">
        <v>0</v>
      </c>
    </row>
    <row r="178">
      <c r="A178" t="inlineStr">
        <is>
          <t>policy_checklist2_text14_response3</t>
        </is>
      </c>
      <c r="B178" t="n">
        <v>8</v>
      </c>
      <c r="C178" t="inlineStr">
        <is>
          <t>T</t>
        </is>
      </c>
      <c r="D178" t="n">
        <v>168</v>
      </c>
      <c r="E178" t="n">
        <v>216</v>
      </c>
      <c r="F178" t="n">
        <v>194</v>
      </c>
      <c r="G178" t="n">
        <v>219</v>
      </c>
      <c r="H178" t="inlineStr">
        <is>
          <t>dejavu</t>
        </is>
      </c>
      <c r="I178" t="n">
        <v>16</v>
      </c>
      <c r="J178" t="n">
        <v>1</v>
      </c>
      <c r="K178" t="n">
        <v>0</v>
      </c>
      <c r="L178" t="n">
        <v>0</v>
      </c>
      <c r="N178" t="inlineStr">
        <is>
          <t>d0d8dd</t>
        </is>
      </c>
      <c r="O178" t="inlineStr">
        <is>
          <t>C</t>
        </is>
      </c>
      <c r="Q178" t="n">
        <v>2</v>
      </c>
      <c r="R178" t="b">
        <v>0</v>
      </c>
      <c r="S178" t="inlineStr">
        <is>
          <t xml:space="preserve"> </t>
        </is>
      </c>
      <c r="T178" t="n">
        <v>0</v>
      </c>
    </row>
    <row r="179">
      <c r="A179" t="inlineStr">
        <is>
          <t>policy_checklist2_text15</t>
        </is>
      </c>
      <c r="B179" t="n">
        <v>8</v>
      </c>
      <c r="C179" t="inlineStr">
        <is>
          <t>T</t>
        </is>
      </c>
      <c r="D179" t="n">
        <v>14</v>
      </c>
      <c r="E179" t="n">
        <v>227</v>
      </c>
      <c r="F179" t="n">
        <v>112</v>
      </c>
      <c r="G179" t="n">
        <v>232</v>
      </c>
      <c r="H179" t="inlineStr">
        <is>
          <t>custom</t>
        </is>
      </c>
      <c r="I179" t="n">
        <v>12</v>
      </c>
      <c r="J179" t="n">
        <v>0</v>
      </c>
      <c r="K179" t="n">
        <v>0</v>
      </c>
      <c r="L179" t="n">
        <v>0</v>
      </c>
      <c r="N179" t="inlineStr">
        <is>
          <t>d0d8dd</t>
        </is>
      </c>
      <c r="O179" t="inlineStr">
        <is>
          <t>L</t>
        </is>
      </c>
      <c r="Q179" t="n">
        <v>3</v>
      </c>
      <c r="R179" t="b">
        <v>1</v>
      </c>
      <c r="S179" t="inlineStr">
        <is>
          <t xml:space="preserve"> </t>
        </is>
      </c>
      <c r="T179" t="n">
        <v>0</v>
      </c>
    </row>
    <row r="180">
      <c r="A180" t="inlineStr">
        <is>
          <t>policy_checklist2_text15_response1</t>
        </is>
      </c>
      <c r="B180" t="n">
        <v>8</v>
      </c>
      <c r="C180" t="inlineStr">
        <is>
          <t>T</t>
        </is>
      </c>
      <c r="D180" t="n">
        <v>113</v>
      </c>
      <c r="E180" t="n">
        <v>228</v>
      </c>
      <c r="F180" t="n">
        <v>140</v>
      </c>
      <c r="G180" t="n">
        <v>231</v>
      </c>
      <c r="H180" t="inlineStr">
        <is>
          <t>dejavu</t>
        </is>
      </c>
      <c r="I180" t="n">
        <v>16</v>
      </c>
      <c r="J180" t="n">
        <v>1</v>
      </c>
      <c r="K180" t="n">
        <v>0</v>
      </c>
      <c r="L180" t="n">
        <v>0</v>
      </c>
      <c r="N180" t="inlineStr">
        <is>
          <t>d0d8dd</t>
        </is>
      </c>
      <c r="O180" t="inlineStr">
        <is>
          <t>C</t>
        </is>
      </c>
      <c r="Q180" t="n">
        <v>2</v>
      </c>
      <c r="R180" t="b">
        <v>0</v>
      </c>
      <c r="S180" t="inlineStr">
        <is>
          <t xml:space="preserve"> </t>
        </is>
      </c>
      <c r="T180" t="n">
        <v>0</v>
      </c>
    </row>
    <row r="181">
      <c r="A181" t="inlineStr">
        <is>
          <t>policy_checklist2_text15_response2</t>
        </is>
      </c>
      <c r="B181" t="n">
        <v>8</v>
      </c>
      <c r="C181" t="inlineStr">
        <is>
          <t>T</t>
        </is>
      </c>
      <c r="D181" t="n">
        <v>140</v>
      </c>
      <c r="E181" t="n">
        <v>228</v>
      </c>
      <c r="F181" t="n">
        <v>169</v>
      </c>
      <c r="G181" t="n">
        <v>231</v>
      </c>
      <c r="H181" t="inlineStr">
        <is>
          <t>dejavu</t>
        </is>
      </c>
      <c r="I181" t="n">
        <v>16</v>
      </c>
      <c r="J181" t="n">
        <v>1</v>
      </c>
      <c r="K181" t="n">
        <v>0</v>
      </c>
      <c r="L181" t="n">
        <v>0</v>
      </c>
      <c r="N181" t="inlineStr">
        <is>
          <t>d0d8dd</t>
        </is>
      </c>
      <c r="O181" t="inlineStr">
        <is>
          <t>C</t>
        </is>
      </c>
      <c r="Q181" t="n">
        <v>2</v>
      </c>
      <c r="R181" t="b">
        <v>0</v>
      </c>
      <c r="S181" t="inlineStr">
        <is>
          <t xml:space="preserve"> </t>
        </is>
      </c>
      <c r="T181" t="n">
        <v>0</v>
      </c>
    </row>
    <row r="182">
      <c r="A182" t="inlineStr">
        <is>
          <t>policy_checklist2_text15_response3</t>
        </is>
      </c>
      <c r="B182" t="n">
        <v>8</v>
      </c>
      <c r="C182" t="inlineStr">
        <is>
          <t>T</t>
        </is>
      </c>
      <c r="D182" t="n">
        <v>168</v>
      </c>
      <c r="E182" t="n">
        <v>228</v>
      </c>
      <c r="F182" t="n">
        <v>194</v>
      </c>
      <c r="G182" t="n">
        <v>231</v>
      </c>
      <c r="H182" t="inlineStr">
        <is>
          <t>dejavu</t>
        </is>
      </c>
      <c r="I182" t="n">
        <v>16</v>
      </c>
      <c r="J182" t="n">
        <v>1</v>
      </c>
      <c r="K182" t="n">
        <v>0</v>
      </c>
      <c r="L182" t="n">
        <v>0</v>
      </c>
      <c r="N182" t="inlineStr">
        <is>
          <t>d0d8dd</t>
        </is>
      </c>
      <c r="O182" t="inlineStr">
        <is>
          <t>C</t>
        </is>
      </c>
      <c r="Q182" t="n">
        <v>2</v>
      </c>
      <c r="R182" t="b">
        <v>0</v>
      </c>
      <c r="S182" t="inlineStr">
        <is>
          <t xml:space="preserve"> </t>
        </is>
      </c>
      <c r="T182" t="n">
        <v>0</v>
      </c>
    </row>
    <row r="183">
      <c r="A183" t="inlineStr">
        <is>
          <t>policy_checklist2_text16</t>
        </is>
      </c>
      <c r="B183" t="n">
        <v>8</v>
      </c>
      <c r="C183" t="inlineStr">
        <is>
          <t>T</t>
        </is>
      </c>
      <c r="D183" t="n">
        <v>14</v>
      </c>
      <c r="E183" t="n">
        <v>239</v>
      </c>
      <c r="F183" t="n">
        <v>112</v>
      </c>
      <c r="G183" t="n">
        <v>244</v>
      </c>
      <c r="H183" t="inlineStr">
        <is>
          <t>custom</t>
        </is>
      </c>
      <c r="I183" t="n">
        <v>12</v>
      </c>
      <c r="J183" t="n">
        <v>0</v>
      </c>
      <c r="K183" t="n">
        <v>0</v>
      </c>
      <c r="L183" t="n">
        <v>0</v>
      </c>
      <c r="N183" t="inlineStr">
        <is>
          <t>d0d8dd</t>
        </is>
      </c>
      <c r="O183" t="inlineStr">
        <is>
          <t>L</t>
        </is>
      </c>
      <c r="Q183" t="n">
        <v>3</v>
      </c>
      <c r="R183" t="b">
        <v>1</v>
      </c>
      <c r="S183" t="inlineStr">
        <is>
          <t xml:space="preserve"> </t>
        </is>
      </c>
      <c r="T183" t="n">
        <v>0</v>
      </c>
    </row>
    <row r="184">
      <c r="A184" t="inlineStr">
        <is>
          <t>policy_checklist2_text16_response1</t>
        </is>
      </c>
      <c r="B184" t="n">
        <v>8</v>
      </c>
      <c r="C184" t="inlineStr">
        <is>
          <t>T</t>
        </is>
      </c>
      <c r="D184" t="n">
        <v>113</v>
      </c>
      <c r="E184" t="n">
        <v>240</v>
      </c>
      <c r="F184" t="n">
        <v>140</v>
      </c>
      <c r="G184" t="n">
        <v>243</v>
      </c>
      <c r="H184" t="inlineStr">
        <is>
          <t>dejavu</t>
        </is>
      </c>
      <c r="I184" t="n">
        <v>16</v>
      </c>
      <c r="J184" t="n">
        <v>1</v>
      </c>
      <c r="K184" t="n">
        <v>0</v>
      </c>
      <c r="L184" t="n">
        <v>0</v>
      </c>
      <c r="N184" t="inlineStr">
        <is>
          <t>d0d8dd</t>
        </is>
      </c>
      <c r="O184" t="inlineStr">
        <is>
          <t>C</t>
        </is>
      </c>
      <c r="Q184" t="n">
        <v>2</v>
      </c>
      <c r="R184" t="b">
        <v>0</v>
      </c>
      <c r="S184" t="inlineStr">
        <is>
          <t xml:space="preserve"> </t>
        </is>
      </c>
      <c r="T184" t="n">
        <v>0</v>
      </c>
    </row>
    <row r="185">
      <c r="A185" t="inlineStr">
        <is>
          <t>policy_checklist2_text16_response2</t>
        </is>
      </c>
      <c r="B185" t="n">
        <v>8</v>
      </c>
      <c r="C185" t="inlineStr">
        <is>
          <t>T</t>
        </is>
      </c>
      <c r="D185" t="n">
        <v>140</v>
      </c>
      <c r="E185" t="n">
        <v>240</v>
      </c>
      <c r="F185" t="n">
        <v>169</v>
      </c>
      <c r="G185" t="n">
        <v>243</v>
      </c>
      <c r="H185" t="inlineStr">
        <is>
          <t>dejavu</t>
        </is>
      </c>
      <c r="I185" t="n">
        <v>16</v>
      </c>
      <c r="J185" t="n">
        <v>1</v>
      </c>
      <c r="K185" t="n">
        <v>0</v>
      </c>
      <c r="L185" t="n">
        <v>0</v>
      </c>
      <c r="N185" t="inlineStr">
        <is>
          <t>d0d8dd</t>
        </is>
      </c>
      <c r="O185" t="inlineStr">
        <is>
          <t>C</t>
        </is>
      </c>
      <c r="Q185" t="n">
        <v>2</v>
      </c>
      <c r="R185" t="b">
        <v>0</v>
      </c>
      <c r="S185" t="inlineStr">
        <is>
          <t xml:space="preserve"> </t>
        </is>
      </c>
      <c r="T185" t="n">
        <v>0</v>
      </c>
    </row>
    <row r="186">
      <c r="A186" t="inlineStr">
        <is>
          <t>policy_checklist2_text16_response3</t>
        </is>
      </c>
      <c r="B186" t="n">
        <v>8</v>
      </c>
      <c r="C186" t="inlineStr">
        <is>
          <t>T</t>
        </is>
      </c>
      <c r="D186" t="n">
        <v>168</v>
      </c>
      <c r="E186" t="n">
        <v>240</v>
      </c>
      <c r="F186" t="n">
        <v>194</v>
      </c>
      <c r="G186" t="n">
        <v>243</v>
      </c>
      <c r="H186" t="inlineStr">
        <is>
          <t>dejavu</t>
        </is>
      </c>
      <c r="I186" t="n">
        <v>16</v>
      </c>
      <c r="J186" t="n">
        <v>1</v>
      </c>
      <c r="K186" t="n">
        <v>0</v>
      </c>
      <c r="L186" t="n">
        <v>0</v>
      </c>
      <c r="N186" t="inlineStr">
        <is>
          <t>d0d8dd</t>
        </is>
      </c>
      <c r="O186" t="inlineStr">
        <is>
          <t>C</t>
        </is>
      </c>
      <c r="Q186" t="n">
        <v>2</v>
      </c>
      <c r="R186" t="b">
        <v>0</v>
      </c>
      <c r="S186" t="inlineStr">
        <is>
          <t xml:space="preserve"> </t>
        </is>
      </c>
      <c r="T186" t="n">
        <v>0</v>
      </c>
    </row>
    <row r="187">
      <c r="A187" t="inlineStr">
        <is>
          <t>policy_checklist2_text17</t>
        </is>
      </c>
      <c r="B187" t="n">
        <v>8</v>
      </c>
      <c r="C187" t="inlineStr">
        <is>
          <t>T</t>
        </is>
      </c>
      <c r="D187" t="n">
        <v>14</v>
      </c>
      <c r="E187" t="n">
        <v>251</v>
      </c>
      <c r="F187" t="n">
        <v>112</v>
      </c>
      <c r="G187" t="n">
        <v>256</v>
      </c>
      <c r="H187" t="inlineStr">
        <is>
          <t>custom</t>
        </is>
      </c>
      <c r="I187" t="n">
        <v>12</v>
      </c>
      <c r="J187" t="n">
        <v>0</v>
      </c>
      <c r="K187" t="n">
        <v>0</v>
      </c>
      <c r="L187" t="n">
        <v>0</v>
      </c>
      <c r="N187" t="inlineStr">
        <is>
          <t>d0d8dd</t>
        </is>
      </c>
      <c r="O187" t="inlineStr">
        <is>
          <t>L</t>
        </is>
      </c>
      <c r="Q187" t="n">
        <v>3</v>
      </c>
      <c r="R187" t="b">
        <v>1</v>
      </c>
      <c r="S187" t="inlineStr">
        <is>
          <t xml:space="preserve"> </t>
        </is>
      </c>
      <c r="T187" t="n">
        <v>0</v>
      </c>
    </row>
    <row r="188">
      <c r="A188" t="inlineStr">
        <is>
          <t>policy_checklist2_text17_response1</t>
        </is>
      </c>
      <c r="B188" t="n">
        <v>8</v>
      </c>
      <c r="C188" t="inlineStr">
        <is>
          <t>T</t>
        </is>
      </c>
      <c r="D188" t="n">
        <v>113</v>
      </c>
      <c r="E188" t="n">
        <v>252</v>
      </c>
      <c r="F188" t="n">
        <v>140</v>
      </c>
      <c r="G188" t="n">
        <v>255</v>
      </c>
      <c r="H188" t="inlineStr">
        <is>
          <t>dejavu</t>
        </is>
      </c>
      <c r="I188" t="n">
        <v>16</v>
      </c>
      <c r="J188" t="n">
        <v>1</v>
      </c>
      <c r="K188" t="n">
        <v>0</v>
      </c>
      <c r="L188" t="n">
        <v>0</v>
      </c>
      <c r="N188" t="inlineStr">
        <is>
          <t>d0d8dd</t>
        </is>
      </c>
      <c r="O188" t="inlineStr">
        <is>
          <t>C</t>
        </is>
      </c>
      <c r="Q188" t="n">
        <v>2</v>
      </c>
      <c r="R188" t="b">
        <v>0</v>
      </c>
      <c r="S188" t="inlineStr">
        <is>
          <t xml:space="preserve"> </t>
        </is>
      </c>
      <c r="T188" t="n">
        <v>0</v>
      </c>
    </row>
    <row r="189">
      <c r="A189" t="inlineStr">
        <is>
          <t>policy_checklist2_text17_response2</t>
        </is>
      </c>
      <c r="B189" t="n">
        <v>8</v>
      </c>
      <c r="C189" t="inlineStr">
        <is>
          <t>T</t>
        </is>
      </c>
      <c r="D189" t="n">
        <v>140</v>
      </c>
      <c r="E189" t="n">
        <v>252</v>
      </c>
      <c r="F189" t="n">
        <v>169</v>
      </c>
      <c r="G189" t="n">
        <v>255</v>
      </c>
      <c r="H189" t="inlineStr">
        <is>
          <t>dejavu</t>
        </is>
      </c>
      <c r="I189" t="n">
        <v>16</v>
      </c>
      <c r="J189" t="n">
        <v>1</v>
      </c>
      <c r="K189" t="n">
        <v>0</v>
      </c>
      <c r="L189" t="n">
        <v>0</v>
      </c>
      <c r="N189" t="inlineStr">
        <is>
          <t>d0d8dd</t>
        </is>
      </c>
      <c r="O189" t="inlineStr">
        <is>
          <t>C</t>
        </is>
      </c>
      <c r="Q189" t="n">
        <v>2</v>
      </c>
      <c r="R189" t="b">
        <v>0</v>
      </c>
      <c r="S189" t="inlineStr">
        <is>
          <t xml:space="preserve"> </t>
        </is>
      </c>
      <c r="T189" t="n">
        <v>0</v>
      </c>
    </row>
    <row r="190">
      <c r="A190" t="inlineStr">
        <is>
          <t>policy_checklist2_text17_response3</t>
        </is>
      </c>
      <c r="B190" t="n">
        <v>8</v>
      </c>
      <c r="C190" t="inlineStr">
        <is>
          <t>T</t>
        </is>
      </c>
      <c r="D190" t="n">
        <v>168</v>
      </c>
      <c r="E190" t="n">
        <v>252</v>
      </c>
      <c r="F190" t="n">
        <v>194</v>
      </c>
      <c r="G190" t="n">
        <v>255</v>
      </c>
      <c r="H190" t="inlineStr">
        <is>
          <t>dejavu</t>
        </is>
      </c>
      <c r="I190" t="n">
        <v>16</v>
      </c>
      <c r="J190" t="n">
        <v>1</v>
      </c>
      <c r="K190" t="n">
        <v>0</v>
      </c>
      <c r="L190" t="n">
        <v>0</v>
      </c>
      <c r="N190" t="inlineStr">
        <is>
          <t>d0d8dd</t>
        </is>
      </c>
      <c r="O190" t="inlineStr">
        <is>
          <t>C</t>
        </is>
      </c>
      <c r="Q190" t="n">
        <v>2</v>
      </c>
      <c r="R190" t="b">
        <v>0</v>
      </c>
      <c r="S190" t="inlineStr">
        <is>
          <t xml:space="preserve"> </t>
        </is>
      </c>
      <c r="T190" t="n">
        <v>0</v>
      </c>
    </row>
    <row r="191">
      <c r="A191" t="inlineStr">
        <is>
          <t>Neighbourhood walkability relative to 25 cities internationally</t>
        </is>
      </c>
      <c r="B191" t="n">
        <v>9</v>
      </c>
      <c r="C191" t="inlineStr">
        <is>
          <t>T</t>
        </is>
      </c>
      <c r="D191" t="n">
        <v>14</v>
      </c>
      <c r="E191" t="n">
        <v>20</v>
      </c>
      <c r="F191" t="n">
        <v>196</v>
      </c>
      <c r="G191" t="n">
        <v>25</v>
      </c>
      <c r="H191" t="inlineStr">
        <is>
          <t>custom</t>
        </is>
      </c>
      <c r="I191" t="n">
        <v>12</v>
      </c>
      <c r="J191" t="n">
        <v>1</v>
      </c>
      <c r="K191" t="n">
        <v>0</v>
      </c>
      <c r="L191" t="n">
        <v>0</v>
      </c>
      <c r="N191" t="inlineStr">
        <is>
          <t>FFFFFF</t>
        </is>
      </c>
      <c r="O191" t="inlineStr">
        <is>
          <t>L</t>
        </is>
      </c>
      <c r="Q191" t="n">
        <v>3</v>
      </c>
      <c r="R191" t="b">
        <v>1</v>
      </c>
      <c r="S191" t="inlineStr">
        <is>
          <t xml:space="preserve"> </t>
        </is>
      </c>
      <c r="T191" t="n">
        <v>0</v>
      </c>
    </row>
    <row r="192">
      <c r="A192" t="inlineStr">
        <is>
          <t>all_cities_walkability</t>
        </is>
      </c>
      <c r="B192" t="n">
        <v>9</v>
      </c>
      <c r="C192" t="inlineStr">
        <is>
          <t>I</t>
        </is>
      </c>
      <c r="D192" t="n">
        <v>20</v>
      </c>
      <c r="E192" t="n">
        <v>60</v>
      </c>
      <c r="F192" t="n">
        <v>190</v>
      </c>
      <c r="G192" t="n">
        <v>214</v>
      </c>
      <c r="I192" t="n">
        <v>0</v>
      </c>
      <c r="J192" t="n">
        <v>0</v>
      </c>
      <c r="K192" t="n">
        <v>0</v>
      </c>
      <c r="L192" t="n">
        <v>0</v>
      </c>
      <c r="N192" t="inlineStr">
        <is>
          <t>FFFFFF</t>
        </is>
      </c>
      <c r="O192" t="inlineStr">
        <is>
          <t>L</t>
        </is>
      </c>
      <c r="Q192" t="n">
        <v>2</v>
      </c>
      <c r="R192" t="b">
        <v>0</v>
      </c>
      <c r="S192" t="inlineStr">
        <is>
          <t xml:space="preserve"> </t>
        </is>
      </c>
      <c r="T192" t="n">
        <v>0</v>
      </c>
    </row>
    <row r="193">
      <c r="A193" t="inlineStr">
        <is>
          <t>walkability_above_median_pct</t>
        </is>
      </c>
      <c r="B193" t="n">
        <v>9</v>
      </c>
      <c r="C193" t="inlineStr">
        <is>
          <t>T</t>
        </is>
      </c>
      <c r="D193" t="n">
        <v>14</v>
      </c>
      <c r="E193" t="n">
        <v>218</v>
      </c>
      <c r="F193" t="n">
        <v>196</v>
      </c>
      <c r="G193" t="n">
        <v>226</v>
      </c>
      <c r="H193" t="inlineStr">
        <is>
          <t>custom</t>
        </is>
      </c>
      <c r="I193" t="n">
        <v>14</v>
      </c>
      <c r="J193" t="n">
        <v>0</v>
      </c>
      <c r="K193" t="n">
        <v>0</v>
      </c>
      <c r="L193" t="n">
        <v>0</v>
      </c>
      <c r="M193" t="inlineStr">
        <is>
          <t>584b9f</t>
        </is>
      </c>
      <c r="N193" t="inlineStr">
        <is>
          <t>FFFFFF</t>
        </is>
      </c>
      <c r="O193" t="inlineStr">
        <is>
          <t>C</t>
        </is>
      </c>
      <c r="Q193" t="n">
        <v>3</v>
      </c>
      <c r="R193" t="b">
        <v>1</v>
      </c>
      <c r="S193" t="inlineStr">
        <is>
          <t xml:space="preserve"> </t>
        </is>
      </c>
      <c r="T193" t="n">
        <v>0</v>
      </c>
    </row>
    <row r="194">
      <c r="A194" t="inlineStr">
        <is>
          <t>population_caption</t>
        </is>
      </c>
      <c r="B194" t="n">
        <v>9</v>
      </c>
      <c r="C194" t="inlineStr">
        <is>
          <t>T</t>
        </is>
      </c>
      <c r="D194" t="n">
        <v>14</v>
      </c>
      <c r="E194" t="n">
        <v>275</v>
      </c>
      <c r="F194" t="n">
        <v>197</v>
      </c>
      <c r="G194" t="n">
        <v>280</v>
      </c>
      <c r="H194" t="inlineStr">
        <is>
          <t>custom</t>
        </is>
      </c>
      <c r="I194" t="n">
        <v>8</v>
      </c>
      <c r="J194" t="n">
        <v>0</v>
      </c>
      <c r="K194" t="n">
        <v>0</v>
      </c>
      <c r="L194" t="n">
        <v>0</v>
      </c>
      <c r="M194" t="inlineStr">
        <is>
          <t>584b9f</t>
        </is>
      </c>
      <c r="N194" t="inlineStr">
        <is>
          <t>FFFFFF</t>
        </is>
      </c>
      <c r="O194" t="inlineStr">
        <is>
          <t>L</t>
        </is>
      </c>
      <c r="Q194" t="n">
        <v>3</v>
      </c>
      <c r="R194" t="b">
        <v>1</v>
      </c>
      <c r="T194" t="n">
        <v>0</v>
      </c>
    </row>
    <row r="195" ht="15" customHeight="1">
      <c r="A195" t="inlineStr">
        <is>
          <t>access_profile_table</t>
        </is>
      </c>
      <c r="B195" t="n">
        <v>-999</v>
      </c>
      <c r="C195" t="inlineStr">
        <is>
          <t>T</t>
        </is>
      </c>
      <c r="D195" t="n">
        <v>14</v>
      </c>
      <c r="E195" t="n">
        <v>265</v>
      </c>
      <c r="F195" t="n">
        <v>208</v>
      </c>
      <c r="G195" t="n">
        <v>273</v>
      </c>
      <c r="H195" t="inlineStr">
        <is>
          <t>custom</t>
        </is>
      </c>
      <c r="I195" t="n">
        <v>12</v>
      </c>
      <c r="J195" t="n">
        <v>0</v>
      </c>
      <c r="K195" t="n">
        <v>0</v>
      </c>
      <c r="L195" t="n">
        <v>0</v>
      </c>
      <c r="N195" t="inlineStr">
        <is>
          <t>FFFFFF</t>
        </is>
      </c>
      <c r="O195" t="inlineStr">
        <is>
          <t>R</t>
        </is>
      </c>
      <c r="Q195" t="n">
        <v>2</v>
      </c>
      <c r="R195" t="b">
        <v>1</v>
      </c>
      <c r="S195" t="inlineStr">
        <is>
          <t xml:space="preserve"> </t>
        </is>
      </c>
      <c r="T195" t="n">
        <v>0</v>
      </c>
    </row>
    <row r="196" ht="15" customHeight="1">
      <c r="A196" t="inlineStr">
        <is>
          <t>access_profile_text</t>
        </is>
      </c>
      <c r="B196" t="n">
        <v>10</v>
      </c>
      <c r="C196" t="inlineStr">
        <is>
          <t>T</t>
        </is>
      </c>
      <c r="D196" t="n">
        <v>14</v>
      </c>
      <c r="E196" t="n">
        <v>20</v>
      </c>
      <c r="F196" t="n">
        <v>205</v>
      </c>
      <c r="G196" t="n">
        <v>25</v>
      </c>
      <c r="H196" t="inlineStr">
        <is>
          <t>custom</t>
        </is>
      </c>
      <c r="I196" t="n">
        <v>12</v>
      </c>
      <c r="J196" t="n">
        <v>1</v>
      </c>
      <c r="K196" t="n">
        <v>0</v>
      </c>
      <c r="L196" t="n">
        <v>0</v>
      </c>
      <c r="N196" t="inlineStr">
        <is>
          <t>FFFFFF</t>
        </is>
      </c>
      <c r="O196" t="inlineStr">
        <is>
          <t>L</t>
        </is>
      </c>
      <c r="Q196" t="n">
        <v>3</v>
      </c>
      <c r="R196" t="b">
        <v>1</v>
      </c>
      <c r="S196" t="inlineStr">
        <is>
          <t xml:space="preserve"> </t>
        </is>
      </c>
      <c r="T196" t="n">
        <v>0</v>
      </c>
    </row>
    <row r="197" ht="15" customHeight="1">
      <c r="A197" t="inlineStr">
        <is>
          <t>access_profile</t>
        </is>
      </c>
      <c r="B197" t="n">
        <v>10</v>
      </c>
      <c r="C197" t="inlineStr">
        <is>
          <t>I</t>
        </is>
      </c>
      <c r="D197" t="n">
        <v>14</v>
      </c>
      <c r="E197" t="n">
        <v>30</v>
      </c>
      <c r="F197" t="n">
        <v>196</v>
      </c>
      <c r="G197" t="n">
        <v>257</v>
      </c>
      <c r="H197" t="inlineStr">
        <is>
          <t>custom</t>
        </is>
      </c>
      <c r="I197" t="n">
        <v>12</v>
      </c>
      <c r="J197" t="n">
        <v>0</v>
      </c>
      <c r="K197" t="n">
        <v>0</v>
      </c>
      <c r="L197" t="n">
        <v>0</v>
      </c>
      <c r="N197" t="inlineStr">
        <is>
          <t>FFFFFF</t>
        </is>
      </c>
      <c r="O197" t="inlineStr">
        <is>
          <t>R</t>
        </is>
      </c>
      <c r="Q197" t="n">
        <v>2</v>
      </c>
      <c r="R197" t="b">
        <v>1</v>
      </c>
      <c r="S197" t="inlineStr">
        <is>
          <t xml:space="preserve"> </t>
        </is>
      </c>
      <c r="T197" t="n">
        <v>0</v>
      </c>
    </row>
    <row r="198">
      <c r="A198" t="inlineStr">
        <is>
          <t>thresholds box</t>
        </is>
      </c>
      <c r="B198" t="n">
        <v>-999</v>
      </c>
      <c r="C198" t="inlineStr">
        <is>
          <t>B</t>
        </is>
      </c>
      <c r="D198" t="n">
        <v>10</v>
      </c>
      <c r="E198" t="n">
        <v>10</v>
      </c>
      <c r="F198" t="n">
        <v>101</v>
      </c>
      <c r="G198" t="n">
        <v>80</v>
      </c>
      <c r="I198" t="n">
        <v>0</v>
      </c>
      <c r="J198" t="n">
        <v>0</v>
      </c>
      <c r="K198" t="n">
        <v>0</v>
      </c>
      <c r="L198" t="n">
        <v>0</v>
      </c>
      <c r="N198" t="inlineStr">
        <is>
          <t>FFFFFF</t>
        </is>
      </c>
      <c r="O198" t="inlineStr">
        <is>
          <t>L</t>
        </is>
      </c>
      <c r="Q198" t="n">
        <v>1</v>
      </c>
      <c r="R198" t="b">
        <v>0</v>
      </c>
      <c r="S198" t="inlineStr">
        <is>
          <t xml:space="preserve"> </t>
        </is>
      </c>
      <c r="T198" t="n">
        <v>0</v>
      </c>
    </row>
    <row r="199">
      <c r="A199" t="inlineStr">
        <is>
          <t>colour_page</t>
        </is>
      </c>
      <c r="B199" t="n">
        <v>-999</v>
      </c>
      <c r="C199" t="inlineStr">
        <is>
          <t>B</t>
        </is>
      </c>
      <c r="D199" t="n">
        <v>0</v>
      </c>
      <c r="E199" t="n">
        <v>0</v>
      </c>
      <c r="F199" t="n">
        <v>211</v>
      </c>
      <c r="G199" t="n">
        <v>16</v>
      </c>
      <c r="I199" t="n">
        <v>0</v>
      </c>
      <c r="J199" t="n">
        <v>0</v>
      </c>
      <c r="K199" t="n">
        <v>0</v>
      </c>
      <c r="L199" t="n">
        <v>0</v>
      </c>
      <c r="M199" t="inlineStr">
        <is>
          <t>E2F0D9</t>
        </is>
      </c>
      <c r="N199" t="inlineStr">
        <is>
          <t>E2F0D9</t>
        </is>
      </c>
      <c r="O199" t="inlineStr">
        <is>
          <t>L</t>
        </is>
      </c>
      <c r="Q199" t="n">
        <v>0</v>
      </c>
      <c r="R199" t="b">
        <v>0</v>
      </c>
      <c r="S199" t="inlineStr">
        <is>
          <t xml:space="preserve"> </t>
        </is>
      </c>
      <c r="T199" t="n">
        <v>0</v>
      </c>
    </row>
    <row r="200">
      <c r="A200" t="inlineStr">
        <is>
          <t>thresholds header</t>
        </is>
      </c>
      <c r="B200" t="n">
        <v>11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1</v>
      </c>
      <c r="S200" t="inlineStr">
        <is>
          <t xml:space="preserve"> </t>
        </is>
      </c>
      <c r="T200" t="n">
        <v>0</v>
      </c>
    </row>
    <row r="201">
      <c r="A201" t="inlineStr">
        <is>
          <t>thresholds text</t>
        </is>
      </c>
      <c r="B201" t="n">
        <v>11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1</v>
      </c>
      <c r="R201" t="b">
        <v>1</v>
      </c>
      <c r="S201" t="inlineStr">
        <is>
          <t xml:space="preserve"> </t>
        </is>
      </c>
      <c r="T201" t="n">
        <v>0</v>
      </c>
    </row>
    <row r="202">
      <c r="A202" t="inlineStr">
        <is>
          <t>hero_image_3</t>
        </is>
      </c>
      <c r="B202" t="n">
        <v>11</v>
      </c>
      <c r="C202" t="inlineStr">
        <is>
          <t>I</t>
        </is>
      </c>
      <c r="D202" t="n">
        <v>30</v>
      </c>
      <c r="E202" t="n">
        <v>115</v>
      </c>
      <c r="F202" t="n">
        <v>180</v>
      </c>
      <c r="G202" t="n">
        <v>265</v>
      </c>
      <c r="I202" t="n">
        <v>0</v>
      </c>
      <c r="J202" t="n">
        <v>0</v>
      </c>
      <c r="K202" t="n">
        <v>0</v>
      </c>
      <c r="L202" t="n">
        <v>0</v>
      </c>
      <c r="N202" t="inlineStr">
        <is>
          <t>FFFFFF</t>
        </is>
      </c>
      <c r="O202" t="inlineStr">
        <is>
          <t>L</t>
        </is>
      </c>
      <c r="Q202" t="n">
        <v>0</v>
      </c>
      <c r="R202" t="b">
        <v>0</v>
      </c>
      <c r="S202" t="inlineStr">
        <is>
          <t xml:space="preserve"> </t>
        </is>
      </c>
      <c r="T202" t="n">
        <v>0</v>
      </c>
    </row>
    <row r="203">
      <c r="A203" t="inlineStr">
        <is>
          <t>hero_alt_3</t>
        </is>
      </c>
      <c r="B203" t="n">
        <v>11</v>
      </c>
      <c r="C203" t="inlineStr">
        <is>
          <t>T</t>
        </is>
      </c>
      <c r="D203" t="n">
        <v>30</v>
      </c>
      <c r="E203" t="n">
        <v>115</v>
      </c>
      <c r="F203" t="n">
        <v>130</v>
      </c>
      <c r="G203" t="n">
        <v>265</v>
      </c>
      <c r="H203" t="inlineStr">
        <is>
          <t>custom</t>
        </is>
      </c>
      <c r="I203" t="n">
        <v>12</v>
      </c>
      <c r="J203" t="n">
        <v>0</v>
      </c>
      <c r="K203" t="n">
        <v>1</v>
      </c>
      <c r="L203" t="n">
        <v>0</v>
      </c>
      <c r="N203" t="inlineStr">
        <is>
          <t>FFFFFF</t>
        </is>
      </c>
      <c r="O203" t="inlineStr">
        <is>
          <t>L</t>
        </is>
      </c>
      <c r="Q203" t="n">
        <v>0</v>
      </c>
      <c r="R203" t="b">
        <v>1</v>
      </c>
      <c r="S203" t="inlineStr">
        <is>
          <t xml:space="preserve"> </t>
        </is>
      </c>
      <c r="T203" t="n">
        <v>0</v>
      </c>
    </row>
    <row r="204">
      <c r="A204" t="inlineStr">
        <is>
          <t>Image 3 credit</t>
        </is>
      </c>
      <c r="B204" t="n">
        <v>11</v>
      </c>
      <c r="C204" t="inlineStr">
        <is>
          <t>T</t>
        </is>
      </c>
      <c r="D204" t="n">
        <v>30</v>
      </c>
      <c r="E204" t="n">
        <v>265</v>
      </c>
      <c r="F204" t="n">
        <v>180</v>
      </c>
      <c r="G204" t="n">
        <v>268</v>
      </c>
      <c r="H204" t="inlineStr">
        <is>
          <t>custom</t>
        </is>
      </c>
      <c r="I204" t="n">
        <v>8</v>
      </c>
      <c r="J204" t="n">
        <v>0</v>
      </c>
      <c r="K204" t="n">
        <v>1</v>
      </c>
      <c r="L204" t="n">
        <v>0</v>
      </c>
      <c r="M204" t="inlineStr">
        <is>
          <t>584b9f</t>
        </is>
      </c>
      <c r="N204" t="inlineStr">
        <is>
          <t>FFFFFF</t>
        </is>
      </c>
      <c r="O204" t="inlineStr">
        <is>
          <t>R</t>
        </is>
      </c>
      <c r="Q204" t="n">
        <v>0</v>
      </c>
      <c r="R204" t="b">
        <v>1</v>
      </c>
      <c r="S204" t="inlineStr">
        <is>
          <t xml:space="preserve"> </t>
        </is>
      </c>
      <c r="T204" t="n">
        <v>0</v>
      </c>
    </row>
    <row r="205">
      <c r="A205" t="inlineStr">
        <is>
          <t>Neighbourhood population density (per km²)</t>
        </is>
      </c>
      <c r="B205" t="n">
        <v>12</v>
      </c>
      <c r="C205" t="inlineStr">
        <is>
          <t>T</t>
        </is>
      </c>
      <c r="D205" t="n">
        <v>14</v>
      </c>
      <c r="E205" t="n">
        <v>20</v>
      </c>
      <c r="F205" t="n">
        <v>180</v>
      </c>
      <c r="G205" t="n">
        <v>25</v>
      </c>
      <c r="H205" t="inlineStr">
        <is>
          <t>custom</t>
        </is>
      </c>
      <c r="I205" t="n">
        <v>12</v>
      </c>
      <c r="J205" t="n">
        <v>1</v>
      </c>
      <c r="K205" t="n">
        <v>0</v>
      </c>
      <c r="L205" t="n">
        <v>0</v>
      </c>
      <c r="N205" t="inlineStr">
        <is>
          <t>FFFFFF</t>
        </is>
      </c>
      <c r="O205" t="inlineStr">
        <is>
          <t>L</t>
        </is>
      </c>
      <c r="Q205" t="n">
        <v>3</v>
      </c>
      <c r="R205" t="b">
        <v>0</v>
      </c>
      <c r="S205" t="inlineStr">
        <is>
          <t xml:space="preserve"> </t>
        </is>
      </c>
      <c r="T205" t="n">
        <v>0</v>
      </c>
    </row>
    <row r="206">
      <c r="A206" t="inlineStr">
        <is>
          <t>threshold scale text</t>
        </is>
      </c>
      <c r="B206" t="n">
        <v>12</v>
      </c>
      <c r="C206" t="inlineStr">
        <is>
          <t>T</t>
        </is>
      </c>
      <c r="D206" t="n">
        <v>29</v>
      </c>
      <c r="E206" t="n">
        <v>33</v>
      </c>
      <c r="F206" t="n">
        <v>196</v>
      </c>
      <c r="G206" t="n">
        <v>38</v>
      </c>
      <c r="H206" t="inlineStr">
        <is>
          <t>custom</t>
        </is>
      </c>
      <c r="I206" t="n">
        <v>10</v>
      </c>
      <c r="J206" t="n">
        <v>1</v>
      </c>
      <c r="K206" t="n">
        <v>0</v>
      </c>
      <c r="L206" t="n">
        <v>0</v>
      </c>
      <c r="N206" t="inlineStr">
        <is>
          <t>FFFFFF</t>
        </is>
      </c>
      <c r="O206" t="inlineStr">
        <is>
          <t>L</t>
        </is>
      </c>
      <c r="P206" s="1" t="n"/>
      <c r="Q206" t="n">
        <v>1</v>
      </c>
      <c r="R206" t="b">
        <v>0</v>
      </c>
      <c r="S206" t="inlineStr">
        <is>
          <t xml:space="preserve"> </t>
        </is>
      </c>
      <c r="T206" t="n">
        <v>0</v>
      </c>
    </row>
    <row r="207">
      <c r="A207" t="inlineStr">
        <is>
          <t>thresholds image</t>
        </is>
      </c>
      <c r="B207" t="n">
        <v>12</v>
      </c>
      <c r="C207" t="inlineStr">
        <is>
          <t>I</t>
        </is>
      </c>
      <c r="D207" t="n">
        <v>40</v>
      </c>
      <c r="E207" t="n">
        <v>40</v>
      </c>
      <c r="F207" t="n">
        <v>104</v>
      </c>
      <c r="G207" t="n">
        <v>81</v>
      </c>
      <c r="I207" t="n">
        <v>1</v>
      </c>
      <c r="J207" t="n">
        <v>0</v>
      </c>
      <c r="K207" t="n">
        <v>0</v>
      </c>
      <c r="L207" t="n">
        <v>0</v>
      </c>
      <c r="M207" t="inlineStr">
        <is>
          <t>CCCCCCC</t>
        </is>
      </c>
      <c r="N207" t="inlineStr">
        <is>
          <t>FFFFFF</t>
        </is>
      </c>
      <c r="O207" t="inlineStr">
        <is>
          <t>L</t>
        </is>
      </c>
      <c r="P207" t="inlineStr">
        <is>
          <t>configuration/assets/illustrative density thresholds - population - no text.svg</t>
        </is>
      </c>
      <c r="Q207" t="n">
        <v>2</v>
      </c>
      <c r="R207" t="b">
        <v>0</v>
      </c>
      <c r="S207" t="inlineStr">
        <is>
          <t xml:space="preserve"> </t>
        </is>
      </c>
      <c r="T207" t="n">
        <v>0</v>
      </c>
    </row>
    <row r="208">
      <c r="A208" s="25" t="inlineStr">
        <is>
          <t>pct_100</t>
        </is>
      </c>
      <c r="B208" t="n">
        <v>12</v>
      </c>
      <c r="C208" t="inlineStr">
        <is>
          <t>T</t>
        </is>
      </c>
      <c r="D208" t="n">
        <v>14</v>
      </c>
      <c r="E208" t="n">
        <v>38</v>
      </c>
      <c r="F208" t="n">
        <v>40</v>
      </c>
      <c r="G208" t="n">
        <v>43</v>
      </c>
      <c r="H208" t="inlineStr">
        <is>
          <t>custom</t>
        </is>
      </c>
      <c r="I208" t="n">
        <v>10</v>
      </c>
      <c r="J208" t="n">
        <v>0</v>
      </c>
      <c r="K208" t="n">
        <v>0</v>
      </c>
      <c r="L208" t="n">
        <v>0</v>
      </c>
      <c r="N208" t="inlineStr">
        <is>
          <t>FFFFFF</t>
        </is>
      </c>
      <c r="O208" t="inlineStr">
        <is>
          <t>R</t>
        </is>
      </c>
      <c r="P208" s="26" t="n"/>
      <c r="Q208" t="n">
        <v>3</v>
      </c>
      <c r="R208" t="b">
        <v>0</v>
      </c>
      <c r="S208" t="inlineStr">
        <is>
          <t xml:space="preserve"> </t>
        </is>
      </c>
      <c r="T208" t="n">
        <v>0</v>
      </c>
    </row>
    <row r="209">
      <c r="A209" t="inlineStr">
        <is>
          <t>pct_80</t>
        </is>
      </c>
      <c r="B209" t="n">
        <v>12</v>
      </c>
      <c r="C209" t="inlineStr">
        <is>
          <t>T</t>
        </is>
      </c>
      <c r="D209" t="n">
        <v>14</v>
      </c>
      <c r="E209" t="n">
        <v>46</v>
      </c>
      <c r="F209" t="n">
        <v>40</v>
      </c>
      <c r="G209" t="n">
        <v>51</v>
      </c>
      <c r="H209" t="inlineStr">
        <is>
          <t>custom</t>
        </is>
      </c>
      <c r="I209" t="n">
        <v>10</v>
      </c>
      <c r="J209" t="n">
        <v>0</v>
      </c>
      <c r="K209" t="n">
        <v>0</v>
      </c>
      <c r="L209" t="n">
        <v>0</v>
      </c>
      <c r="N209" t="inlineStr">
        <is>
          <t>FFFFFF</t>
        </is>
      </c>
      <c r="O209" t="inlineStr">
        <is>
          <t>R</t>
        </is>
      </c>
      <c r="P209" s="26" t="n"/>
      <c r="Q209" t="n">
        <v>3</v>
      </c>
      <c r="R209" t="b">
        <v>0</v>
      </c>
      <c r="S209" t="inlineStr">
        <is>
          <t xml:space="preserve"> </t>
        </is>
      </c>
      <c r="T209" t="n">
        <v>0</v>
      </c>
    </row>
    <row r="210">
      <c r="A210" t="inlineStr">
        <is>
          <t>pct_60</t>
        </is>
      </c>
      <c r="B210" t="n">
        <v>12</v>
      </c>
      <c r="C210" t="inlineStr">
        <is>
          <t>T</t>
        </is>
      </c>
      <c r="D210" t="n">
        <v>14</v>
      </c>
      <c r="E210" t="n">
        <v>54</v>
      </c>
      <c r="F210" t="n">
        <v>40</v>
      </c>
      <c r="G210" t="n">
        <v>59</v>
      </c>
      <c r="H210" t="inlineStr">
        <is>
          <t>custom</t>
        </is>
      </c>
      <c r="I210" t="n">
        <v>10</v>
      </c>
      <c r="J210" t="n">
        <v>0</v>
      </c>
      <c r="K210" t="n">
        <v>0</v>
      </c>
      <c r="L210" t="n">
        <v>0</v>
      </c>
      <c r="N210" t="inlineStr">
        <is>
          <t>FFFFFF</t>
        </is>
      </c>
      <c r="O210" t="inlineStr">
        <is>
          <t>R</t>
        </is>
      </c>
      <c r="P210" s="26" t="n"/>
      <c r="Q210" t="n">
        <v>3</v>
      </c>
      <c r="R210" t="b">
        <v>0</v>
      </c>
      <c r="S210" t="inlineStr">
        <is>
          <t xml:space="preserve"> </t>
        </is>
      </c>
      <c r="T210" t="n">
        <v>0</v>
      </c>
    </row>
    <row r="211">
      <c r="A211" t="inlineStr">
        <is>
          <t>pct_40</t>
        </is>
      </c>
      <c r="B211" t="n">
        <v>12</v>
      </c>
      <c r="C211" t="inlineStr">
        <is>
          <t>T</t>
        </is>
      </c>
      <c r="D211" t="n">
        <v>14</v>
      </c>
      <c r="E211" t="n">
        <v>62</v>
      </c>
      <c r="F211" t="n">
        <v>40</v>
      </c>
      <c r="G211" t="n">
        <v>67</v>
      </c>
      <c r="H211" t="inlineStr">
        <is>
          <t>custom</t>
        </is>
      </c>
      <c r="I211" t="n">
        <v>10</v>
      </c>
      <c r="J211" t="n">
        <v>0</v>
      </c>
      <c r="K211" t="n">
        <v>0</v>
      </c>
      <c r="L211" t="n">
        <v>0</v>
      </c>
      <c r="N211" t="inlineStr">
        <is>
          <t>FFFFFF</t>
        </is>
      </c>
      <c r="O211" t="inlineStr">
        <is>
          <t>R</t>
        </is>
      </c>
      <c r="P211" s="26" t="n"/>
      <c r="Q211" t="n">
        <v>3</v>
      </c>
      <c r="R211" t="b">
        <v>0</v>
      </c>
      <c r="S211" t="inlineStr">
        <is>
          <t xml:space="preserve"> </t>
        </is>
      </c>
      <c r="T211" t="n">
        <v>0</v>
      </c>
    </row>
    <row r="212">
      <c r="A212" t="inlineStr">
        <is>
          <t>pct_20</t>
        </is>
      </c>
      <c r="B212" t="n">
        <v>12</v>
      </c>
      <c r="C212" t="inlineStr">
        <is>
          <t>T</t>
        </is>
      </c>
      <c r="D212" t="n">
        <v>14</v>
      </c>
      <c r="E212" t="n">
        <v>70</v>
      </c>
      <c r="F212" t="n">
        <v>40</v>
      </c>
      <c r="G212" t="n">
        <v>75</v>
      </c>
      <c r="H212" t="inlineStr">
        <is>
          <t>custom</t>
        </is>
      </c>
      <c r="I212" t="n">
        <v>10</v>
      </c>
      <c r="J212" t="n">
        <v>0</v>
      </c>
      <c r="K212" t="n">
        <v>0</v>
      </c>
      <c r="L212" t="n">
        <v>0</v>
      </c>
      <c r="N212" t="inlineStr">
        <is>
          <t>FFFFFF</t>
        </is>
      </c>
      <c r="O212" t="inlineStr">
        <is>
          <t>R</t>
        </is>
      </c>
      <c r="P212" s="26" t="n"/>
      <c r="Q212" t="n">
        <v>3</v>
      </c>
      <c r="R212" t="b">
        <v>0</v>
      </c>
      <c r="S212" t="inlineStr">
        <is>
          <t xml:space="preserve"> </t>
        </is>
      </c>
      <c r="T212" t="n">
        <v>0</v>
      </c>
    </row>
    <row r="213">
      <c r="A213" t="inlineStr">
        <is>
          <t>pct_0</t>
        </is>
      </c>
      <c r="B213" t="n">
        <v>12</v>
      </c>
      <c r="C213" t="inlineStr">
        <is>
          <t>T</t>
        </is>
      </c>
      <c r="D213" t="n">
        <v>14</v>
      </c>
      <c r="E213" t="n">
        <v>78</v>
      </c>
      <c r="F213" t="n">
        <v>40</v>
      </c>
      <c r="G213" t="n">
        <v>83</v>
      </c>
      <c r="H213" t="inlineStr">
        <is>
          <t>custom</t>
        </is>
      </c>
      <c r="I213" t="n">
        <v>10</v>
      </c>
      <c r="J213" t="n">
        <v>0</v>
      </c>
      <c r="K213" t="n">
        <v>0</v>
      </c>
      <c r="L213" t="n">
        <v>0</v>
      </c>
      <c r="N213" t="inlineStr">
        <is>
          <t>FFFFFF</t>
        </is>
      </c>
      <c r="O213" t="inlineStr">
        <is>
          <t>R</t>
        </is>
      </c>
      <c r="P213" s="26" t="n"/>
      <c r="Q213" t="n">
        <v>3</v>
      </c>
      <c r="R213" t="b">
        <v>0</v>
      </c>
      <c r="S213" t="inlineStr">
        <is>
          <t xml:space="preserve"> </t>
        </is>
      </c>
      <c r="T213" t="n">
        <v>0</v>
      </c>
    </row>
    <row r="214">
      <c r="A214" t="inlineStr">
        <is>
          <t>thresholds attribution</t>
        </is>
      </c>
      <c r="B214" t="n">
        <v>12</v>
      </c>
      <c r="C214" t="inlineStr">
        <is>
          <t>T</t>
        </is>
      </c>
      <c r="D214" t="n">
        <v>109</v>
      </c>
      <c r="E214" t="n">
        <v>45</v>
      </c>
      <c r="F214" t="n">
        <v>196</v>
      </c>
      <c r="G214" t="n">
        <v>48</v>
      </c>
      <c r="H214" t="inlineStr">
        <is>
          <t>custom</t>
        </is>
      </c>
      <c r="I214" t="n">
        <v>8</v>
      </c>
      <c r="J214" t="n">
        <v>0</v>
      </c>
      <c r="K214" t="n">
        <v>0</v>
      </c>
      <c r="L214" t="n">
        <v>0</v>
      </c>
      <c r="M214" t="inlineStr">
        <is>
          <t>584b9f</t>
        </is>
      </c>
      <c r="O214" t="inlineStr">
        <is>
          <t>L</t>
        </is>
      </c>
      <c r="P214" t="inlineStr">
        <is>
          <t>Adapted from The Lancet Global Health (2022): https://www.thelancet.com/infographics-do/urban-design-2022</t>
        </is>
      </c>
      <c r="Q214" t="n">
        <v>3</v>
      </c>
      <c r="R214" t="b">
        <v>1</v>
      </c>
      <c r="S214" t="inlineStr">
        <is>
          <t xml:space="preserve"> </t>
        </is>
      </c>
      <c r="T214" t="n">
        <v>0</v>
      </c>
    </row>
    <row r="215">
      <c r="A215" t="inlineStr">
        <is>
          <t>threshold population</t>
        </is>
      </c>
      <c r="B215" t="n">
        <v>12</v>
      </c>
      <c r="C215" t="inlineStr">
        <is>
          <t>T</t>
        </is>
      </c>
      <c r="D215" t="n">
        <v>56</v>
      </c>
      <c r="E215" t="n">
        <v>82</v>
      </c>
      <c r="F215" t="n">
        <v>196</v>
      </c>
      <c r="G215" t="n">
        <v>90</v>
      </c>
      <c r="H215" t="inlineStr">
        <is>
          <t>custom</t>
        </is>
      </c>
      <c r="I215" t="n">
        <v>12</v>
      </c>
      <c r="J215" t="n">
        <v>0</v>
      </c>
      <c r="K215" t="n">
        <v>0</v>
      </c>
      <c r="L215" t="n">
        <v>0</v>
      </c>
      <c r="M215" t="inlineStr">
        <is>
          <t>584b9f</t>
        </is>
      </c>
      <c r="N215" t="inlineStr">
        <is>
          <t>FFFFFF</t>
        </is>
      </c>
      <c r="O215" t="inlineStr">
        <is>
          <t>L</t>
        </is>
      </c>
      <c r="Q215" t="n">
        <v>3</v>
      </c>
      <c r="R215" t="b">
        <v>1</v>
      </c>
      <c r="S215" t="inlineStr">
        <is>
          <t xml:space="preserve"> </t>
        </is>
      </c>
      <c r="T215" t="n">
        <v>0</v>
      </c>
    </row>
    <row r="216">
      <c r="A216" t="inlineStr">
        <is>
          <t>line1</t>
        </is>
      </c>
      <c r="B216" t="n">
        <v>12</v>
      </c>
      <c r="C216" t="inlineStr">
        <is>
          <t>L</t>
        </is>
      </c>
      <c r="D216" t="n">
        <v>30</v>
      </c>
      <c r="E216" t="n">
        <v>100</v>
      </c>
      <c r="F216" t="n">
        <v>170</v>
      </c>
      <c r="G216" t="n">
        <v>100</v>
      </c>
      <c r="I216" t="n">
        <v>0</v>
      </c>
      <c r="J216" t="n">
        <v>0</v>
      </c>
      <c r="K216" t="n">
        <v>0</v>
      </c>
      <c r="L216" t="n">
        <v>0</v>
      </c>
      <c r="N216" t="inlineStr">
        <is>
          <t>FFFFFF</t>
        </is>
      </c>
      <c r="O216" t="inlineStr">
        <is>
          <t>L</t>
        </is>
      </c>
      <c r="Q216" t="n">
        <v>2</v>
      </c>
      <c r="R216" t="b">
        <v>0</v>
      </c>
      <c r="S216" t="inlineStr">
        <is>
          <t xml:space="preserve"> </t>
        </is>
      </c>
      <c r="T216" t="n">
        <v>0</v>
      </c>
    </row>
    <row r="217">
      <c r="A217" t="inlineStr">
        <is>
          <t>local_nh_population_density</t>
        </is>
      </c>
      <c r="B217" t="n">
        <v>12</v>
      </c>
      <c r="C217" t="inlineStr">
        <is>
          <t>I</t>
        </is>
      </c>
      <c r="D217" t="n">
        <v>20</v>
      </c>
      <c r="E217" t="n">
        <v>140</v>
      </c>
      <c r="F217" t="n">
        <v>180</v>
      </c>
      <c r="G217" t="n">
        <v>285</v>
      </c>
      <c r="I217" t="n">
        <v>0</v>
      </c>
      <c r="J217" t="n">
        <v>0</v>
      </c>
      <c r="K217" t="n">
        <v>0</v>
      </c>
      <c r="L217" t="n">
        <v>0</v>
      </c>
      <c r="N217" t="inlineStr">
        <is>
          <t>FFFFFF</t>
        </is>
      </c>
      <c r="O217" t="inlineStr">
        <is>
          <t>L</t>
        </is>
      </c>
      <c r="Q217" t="n">
        <v>2</v>
      </c>
      <c r="R217" t="b">
        <v>0</v>
      </c>
      <c r="S217" t="inlineStr">
        <is>
          <t xml:space="preserve"> </t>
        </is>
      </c>
      <c r="T217" t="n">
        <v>0</v>
      </c>
    </row>
    <row r="218">
      <c r="A218" t="inlineStr">
        <is>
          <t>Mean 1000 m neighbourhood population per km²</t>
        </is>
      </c>
      <c r="B218" t="n">
        <v>12</v>
      </c>
      <c r="C218" t="inlineStr">
        <is>
          <t>T</t>
        </is>
      </c>
      <c r="D218" t="n">
        <v>14</v>
      </c>
      <c r="E218" t="n">
        <v>110</v>
      </c>
      <c r="F218" t="n">
        <v>196</v>
      </c>
      <c r="G218" t="n">
        <v>118</v>
      </c>
      <c r="H218" t="inlineStr">
        <is>
          <t>custom</t>
        </is>
      </c>
      <c r="I218" t="n">
        <v>14</v>
      </c>
      <c r="J218" t="n">
        <v>0</v>
      </c>
      <c r="K218" t="n">
        <v>0</v>
      </c>
      <c r="L218" t="n">
        <v>0</v>
      </c>
      <c r="M218" t="inlineStr">
        <is>
          <t>584b9f</t>
        </is>
      </c>
      <c r="N218" t="inlineStr">
        <is>
          <t>FFFFFF</t>
        </is>
      </c>
      <c r="O218" t="inlineStr">
        <is>
          <t>C</t>
        </is>
      </c>
      <c r="Q218" t="n">
        <v>3</v>
      </c>
      <c r="R218" t="b">
        <v>1</v>
      </c>
      <c r="S218" t="inlineStr">
        <is>
          <t xml:space="preserve"> </t>
        </is>
      </c>
      <c r="T218" t="n">
        <v>0</v>
      </c>
    </row>
    <row r="219">
      <c r="A219" t="inlineStr">
        <is>
          <t>Neighbourhood intersection density (per km²)</t>
        </is>
      </c>
      <c r="B219" t="n">
        <v>13</v>
      </c>
      <c r="C219" t="inlineStr">
        <is>
          <t>T</t>
        </is>
      </c>
      <c r="D219" t="n">
        <v>14</v>
      </c>
      <c r="E219" t="n">
        <v>20</v>
      </c>
      <c r="F219" t="n">
        <v>180</v>
      </c>
      <c r="G219" t="n">
        <v>25</v>
      </c>
      <c r="H219" t="inlineStr">
        <is>
          <t>custom</t>
        </is>
      </c>
      <c r="I219" t="n">
        <v>12</v>
      </c>
      <c r="J219" t="n">
        <v>1</v>
      </c>
      <c r="K219" t="n">
        <v>0</v>
      </c>
      <c r="L219" t="n">
        <v>0</v>
      </c>
      <c r="N219" t="inlineStr">
        <is>
          <t>FFFFFF</t>
        </is>
      </c>
      <c r="O219" t="inlineStr">
        <is>
          <t>L</t>
        </is>
      </c>
      <c r="Q219" t="n">
        <v>3</v>
      </c>
      <c r="R219" t="b">
        <v>0</v>
      </c>
      <c r="S219" t="inlineStr">
        <is>
          <t xml:space="preserve"> </t>
        </is>
      </c>
      <c r="T219" t="n">
        <v>0</v>
      </c>
    </row>
    <row r="220">
      <c r="A220" t="inlineStr">
        <is>
          <t>threshold scale text</t>
        </is>
      </c>
      <c r="B220" t="n">
        <v>13</v>
      </c>
      <c r="C220" t="inlineStr">
        <is>
          <t>T</t>
        </is>
      </c>
      <c r="D220" t="n">
        <v>29</v>
      </c>
      <c r="E220" t="n">
        <v>33</v>
      </c>
      <c r="F220" t="n">
        <v>196</v>
      </c>
      <c r="G220" t="n">
        <v>38</v>
      </c>
      <c r="H220" t="inlineStr">
        <is>
          <t>custom</t>
        </is>
      </c>
      <c r="I220" t="n">
        <v>10</v>
      </c>
      <c r="J220" t="n">
        <v>1</v>
      </c>
      <c r="K220" t="n">
        <v>0</v>
      </c>
      <c r="L220" t="n">
        <v>0</v>
      </c>
      <c r="N220" t="inlineStr">
        <is>
          <t>FFFFFF</t>
        </is>
      </c>
      <c r="O220" t="inlineStr">
        <is>
          <t>L</t>
        </is>
      </c>
      <c r="P220" s="1" t="n"/>
      <c r="Q220" t="n">
        <v>1</v>
      </c>
      <c r="R220" t="b">
        <v>0</v>
      </c>
      <c r="S220" t="inlineStr">
        <is>
          <t xml:space="preserve"> </t>
        </is>
      </c>
      <c r="T220" t="n">
        <v>0</v>
      </c>
    </row>
    <row r="221">
      <c r="A221" t="inlineStr">
        <is>
          <t>thresholds image</t>
        </is>
      </c>
      <c r="B221" t="n">
        <v>13</v>
      </c>
      <c r="C221" t="inlineStr">
        <is>
          <t>I</t>
        </is>
      </c>
      <c r="D221" t="n">
        <v>40</v>
      </c>
      <c r="E221" t="n">
        <v>40</v>
      </c>
      <c r="F221" t="n">
        <v>104</v>
      </c>
      <c r="G221" t="n">
        <v>81</v>
      </c>
      <c r="I221" t="n">
        <v>1</v>
      </c>
      <c r="J221" t="n">
        <v>0</v>
      </c>
      <c r="K221" t="n">
        <v>0</v>
      </c>
      <c r="L221" t="n">
        <v>0</v>
      </c>
      <c r="M221" t="inlineStr">
        <is>
          <t>CCCCCCC</t>
        </is>
      </c>
      <c r="N221" t="inlineStr">
        <is>
          <t>FFFFFF</t>
        </is>
      </c>
      <c r="O221" t="inlineStr">
        <is>
          <t>L</t>
        </is>
      </c>
      <c r="P221" t="inlineStr">
        <is>
          <t>configuration/assets/illustrative density thresholds - intersections - no text.svg</t>
        </is>
      </c>
      <c r="Q221" t="n">
        <v>2</v>
      </c>
      <c r="R221" t="b">
        <v>0</v>
      </c>
      <c r="S221" t="inlineStr">
        <is>
          <t xml:space="preserve"> </t>
        </is>
      </c>
      <c r="T221" t="n">
        <v>0</v>
      </c>
    </row>
    <row r="222">
      <c r="A222" s="25" t="inlineStr">
        <is>
          <t>pct_100</t>
        </is>
      </c>
      <c r="B222" t="n">
        <v>13</v>
      </c>
      <c r="C222" t="inlineStr">
        <is>
          <t>T</t>
        </is>
      </c>
      <c r="D222" t="n">
        <v>14</v>
      </c>
      <c r="E222" t="n">
        <v>38</v>
      </c>
      <c r="F222" t="n">
        <v>40</v>
      </c>
      <c r="G222" t="n">
        <v>43</v>
      </c>
      <c r="H222" t="inlineStr">
        <is>
          <t>custom</t>
        </is>
      </c>
      <c r="I222" t="n">
        <v>10</v>
      </c>
      <c r="J222" t="n">
        <v>0</v>
      </c>
      <c r="K222" t="n">
        <v>0</v>
      </c>
      <c r="L222" t="n">
        <v>0</v>
      </c>
      <c r="N222" t="inlineStr">
        <is>
          <t>FFFFFF</t>
        </is>
      </c>
      <c r="O222" t="inlineStr">
        <is>
          <t>R</t>
        </is>
      </c>
      <c r="P222" s="26" t="n"/>
      <c r="Q222" t="n">
        <v>3</v>
      </c>
      <c r="R222" t="b">
        <v>0</v>
      </c>
      <c r="S222" t="inlineStr">
        <is>
          <t xml:space="preserve"> </t>
        </is>
      </c>
      <c r="T222" t="n">
        <v>0</v>
      </c>
    </row>
    <row r="223">
      <c r="A223" t="inlineStr">
        <is>
          <t>pct_80</t>
        </is>
      </c>
      <c r="B223" t="n">
        <v>13</v>
      </c>
      <c r="C223" t="inlineStr">
        <is>
          <t>T</t>
        </is>
      </c>
      <c r="D223" t="n">
        <v>14</v>
      </c>
      <c r="E223" t="n">
        <v>46</v>
      </c>
      <c r="F223" t="n">
        <v>40</v>
      </c>
      <c r="G223" t="n">
        <v>51</v>
      </c>
      <c r="H223" t="inlineStr">
        <is>
          <t>custom</t>
        </is>
      </c>
      <c r="I223" t="n">
        <v>10</v>
      </c>
      <c r="J223" t="n">
        <v>0</v>
      </c>
      <c r="K223" t="n">
        <v>0</v>
      </c>
      <c r="L223" t="n">
        <v>0</v>
      </c>
      <c r="N223" t="inlineStr">
        <is>
          <t>FFFFFF</t>
        </is>
      </c>
      <c r="O223" t="inlineStr">
        <is>
          <t>R</t>
        </is>
      </c>
      <c r="P223" s="26" t="n"/>
      <c r="Q223" t="n">
        <v>3</v>
      </c>
      <c r="R223" t="b">
        <v>0</v>
      </c>
      <c r="S223" t="inlineStr">
        <is>
          <t xml:space="preserve"> </t>
        </is>
      </c>
      <c r="T223" t="n">
        <v>0</v>
      </c>
    </row>
    <row r="224">
      <c r="A224" t="inlineStr">
        <is>
          <t>pct_60</t>
        </is>
      </c>
      <c r="B224" t="n">
        <v>13</v>
      </c>
      <c r="C224" t="inlineStr">
        <is>
          <t>T</t>
        </is>
      </c>
      <c r="D224" t="n">
        <v>14</v>
      </c>
      <c r="E224" t="n">
        <v>54</v>
      </c>
      <c r="F224" t="n">
        <v>40</v>
      </c>
      <c r="G224" t="n">
        <v>59</v>
      </c>
      <c r="H224" t="inlineStr">
        <is>
          <t>custom</t>
        </is>
      </c>
      <c r="I224" t="n">
        <v>10</v>
      </c>
      <c r="J224" t="n">
        <v>0</v>
      </c>
      <c r="K224" t="n">
        <v>0</v>
      </c>
      <c r="L224" t="n">
        <v>0</v>
      </c>
      <c r="N224" t="inlineStr">
        <is>
          <t>FFFFFF</t>
        </is>
      </c>
      <c r="O224" t="inlineStr">
        <is>
          <t>R</t>
        </is>
      </c>
      <c r="P224" s="26" t="n"/>
      <c r="Q224" t="n">
        <v>3</v>
      </c>
      <c r="R224" t="b">
        <v>0</v>
      </c>
      <c r="S224" t="inlineStr">
        <is>
          <t xml:space="preserve"> </t>
        </is>
      </c>
      <c r="T224" t="n">
        <v>0</v>
      </c>
    </row>
    <row r="225">
      <c r="A225" t="inlineStr">
        <is>
          <t>pct_40</t>
        </is>
      </c>
      <c r="B225" t="n">
        <v>13</v>
      </c>
      <c r="C225" t="inlineStr">
        <is>
          <t>T</t>
        </is>
      </c>
      <c r="D225" t="n">
        <v>14</v>
      </c>
      <c r="E225" t="n">
        <v>62</v>
      </c>
      <c r="F225" t="n">
        <v>40</v>
      </c>
      <c r="G225" t="n">
        <v>67</v>
      </c>
      <c r="H225" t="inlineStr">
        <is>
          <t>custom</t>
        </is>
      </c>
      <c r="I225" t="n">
        <v>10</v>
      </c>
      <c r="J225" t="n">
        <v>0</v>
      </c>
      <c r="K225" t="n">
        <v>0</v>
      </c>
      <c r="L225" t="n">
        <v>0</v>
      </c>
      <c r="N225" t="inlineStr">
        <is>
          <t>FFFFFF</t>
        </is>
      </c>
      <c r="O225" t="inlineStr">
        <is>
          <t>R</t>
        </is>
      </c>
      <c r="P225" s="26" t="n"/>
      <c r="Q225" t="n">
        <v>3</v>
      </c>
      <c r="R225" t="b">
        <v>0</v>
      </c>
      <c r="S225" t="inlineStr">
        <is>
          <t xml:space="preserve"> </t>
        </is>
      </c>
      <c r="T225" t="n">
        <v>0</v>
      </c>
    </row>
    <row r="226">
      <c r="A226" t="inlineStr">
        <is>
          <t>pct_20</t>
        </is>
      </c>
      <c r="B226" t="n">
        <v>13</v>
      </c>
      <c r="C226" t="inlineStr">
        <is>
          <t>T</t>
        </is>
      </c>
      <c r="D226" t="n">
        <v>14</v>
      </c>
      <c r="E226" t="n">
        <v>70</v>
      </c>
      <c r="F226" t="n">
        <v>40</v>
      </c>
      <c r="G226" t="n">
        <v>75</v>
      </c>
      <c r="H226" t="inlineStr">
        <is>
          <t>custom</t>
        </is>
      </c>
      <c r="I226" t="n">
        <v>10</v>
      </c>
      <c r="J226" t="n">
        <v>0</v>
      </c>
      <c r="K226" t="n">
        <v>0</v>
      </c>
      <c r="L226" t="n">
        <v>0</v>
      </c>
      <c r="N226" t="inlineStr">
        <is>
          <t>FFFFFF</t>
        </is>
      </c>
      <c r="O226" t="inlineStr">
        <is>
          <t>R</t>
        </is>
      </c>
      <c r="P226" s="26" t="n"/>
      <c r="Q226" t="n">
        <v>3</v>
      </c>
      <c r="R226" t="b">
        <v>0</v>
      </c>
      <c r="S226" t="inlineStr">
        <is>
          <t xml:space="preserve"> </t>
        </is>
      </c>
      <c r="T226" t="n">
        <v>0</v>
      </c>
    </row>
    <row r="227">
      <c r="A227" t="inlineStr">
        <is>
          <t>pct_0</t>
        </is>
      </c>
      <c r="B227" t="n">
        <v>13</v>
      </c>
      <c r="C227" t="inlineStr">
        <is>
          <t>T</t>
        </is>
      </c>
      <c r="D227" t="n">
        <v>14</v>
      </c>
      <c r="E227" t="n">
        <v>78</v>
      </c>
      <c r="F227" t="n">
        <v>40</v>
      </c>
      <c r="G227" t="n">
        <v>83</v>
      </c>
      <c r="H227" t="inlineStr">
        <is>
          <t>custom</t>
        </is>
      </c>
      <c r="I227" t="n">
        <v>10</v>
      </c>
      <c r="J227" t="n">
        <v>0</v>
      </c>
      <c r="K227" t="n">
        <v>0</v>
      </c>
      <c r="L227" t="n">
        <v>0</v>
      </c>
      <c r="N227" t="inlineStr">
        <is>
          <t>FFFFFF</t>
        </is>
      </c>
      <c r="O227" t="inlineStr">
        <is>
          <t>R</t>
        </is>
      </c>
      <c r="P227" s="26" t="n"/>
      <c r="Q227" t="n">
        <v>3</v>
      </c>
      <c r="R227" t="b">
        <v>0</v>
      </c>
      <c r="S227" t="inlineStr">
        <is>
          <t xml:space="preserve"> </t>
        </is>
      </c>
      <c r="T227" t="n">
        <v>0</v>
      </c>
    </row>
    <row r="228">
      <c r="A228" t="inlineStr">
        <is>
          <t>thresholds attribution</t>
        </is>
      </c>
      <c r="B228" t="n">
        <v>13</v>
      </c>
      <c r="C228" t="inlineStr">
        <is>
          <t>T</t>
        </is>
      </c>
      <c r="D228" t="n">
        <v>109</v>
      </c>
      <c r="E228" t="n">
        <v>45</v>
      </c>
      <c r="F228" t="n">
        <v>196</v>
      </c>
      <c r="G228" t="n">
        <v>48</v>
      </c>
      <c r="H228" t="inlineStr">
        <is>
          <t>custom</t>
        </is>
      </c>
      <c r="I228" t="n">
        <v>8</v>
      </c>
      <c r="J228" t="n">
        <v>0</v>
      </c>
      <c r="K228" t="n">
        <v>0</v>
      </c>
      <c r="L228" t="n">
        <v>0</v>
      </c>
      <c r="M228" t="inlineStr">
        <is>
          <t>584b9f</t>
        </is>
      </c>
      <c r="O228" t="inlineStr">
        <is>
          <t>L</t>
        </is>
      </c>
      <c r="P228" t="inlineStr">
        <is>
          <t>Adapted from The Lancet Global Health (2022): https://www.thelancet.com/infographics-do/urban-design-2022</t>
        </is>
      </c>
      <c r="Q228" t="n">
        <v>3</v>
      </c>
      <c r="R228" t="b">
        <v>1</v>
      </c>
      <c r="S228" t="inlineStr">
        <is>
          <t xml:space="preserve"> </t>
        </is>
      </c>
      <c r="T228" t="n">
        <v>0</v>
      </c>
    </row>
    <row r="229">
      <c r="A229" t="inlineStr">
        <is>
          <t>threshold intersections</t>
        </is>
      </c>
      <c r="B229" t="n">
        <v>13</v>
      </c>
      <c r="C229" t="inlineStr">
        <is>
          <t>T</t>
        </is>
      </c>
      <c r="D229" t="n">
        <v>56</v>
      </c>
      <c r="E229" t="n">
        <v>82</v>
      </c>
      <c r="F229" t="n">
        <v>196</v>
      </c>
      <c r="G229" t="n">
        <v>90</v>
      </c>
      <c r="H229" t="inlineStr">
        <is>
          <t>custom</t>
        </is>
      </c>
      <c r="I229" t="n">
        <v>12</v>
      </c>
      <c r="J229" t="n">
        <v>0</v>
      </c>
      <c r="K229" t="n">
        <v>0</v>
      </c>
      <c r="L229" t="n">
        <v>0</v>
      </c>
      <c r="M229" t="inlineStr">
        <is>
          <t>92D050</t>
        </is>
      </c>
      <c r="N229" t="inlineStr">
        <is>
          <t>FFFFFF</t>
        </is>
      </c>
      <c r="O229" t="inlineStr">
        <is>
          <t>L</t>
        </is>
      </c>
      <c r="Q229" t="n">
        <v>3</v>
      </c>
      <c r="R229" t="b">
        <v>1</v>
      </c>
      <c r="S229" t="inlineStr">
        <is>
          <t xml:space="preserve"> </t>
        </is>
      </c>
      <c r="T229" t="n">
        <v>0</v>
      </c>
    </row>
    <row r="230">
      <c r="A230" t="inlineStr">
        <is>
          <t>line1</t>
        </is>
      </c>
      <c r="B230" t="n">
        <v>13</v>
      </c>
      <c r="C230" t="inlineStr">
        <is>
          <t>L</t>
        </is>
      </c>
      <c r="D230" t="n">
        <v>30</v>
      </c>
      <c r="E230" t="n">
        <v>100</v>
      </c>
      <c r="F230" t="n">
        <v>170</v>
      </c>
      <c r="G230" t="n">
        <v>100</v>
      </c>
      <c r="I230" t="n">
        <v>0</v>
      </c>
      <c r="J230" t="n">
        <v>0</v>
      </c>
      <c r="K230" t="n">
        <v>0</v>
      </c>
      <c r="L230" t="n">
        <v>0</v>
      </c>
      <c r="N230" t="inlineStr">
        <is>
          <t>FFFFFF</t>
        </is>
      </c>
      <c r="O230" t="inlineStr">
        <is>
          <t>L</t>
        </is>
      </c>
      <c r="Q230" t="n">
        <v>2</v>
      </c>
      <c r="R230" t="b">
        <v>0</v>
      </c>
      <c r="S230" t="inlineStr">
        <is>
          <t xml:space="preserve"> </t>
        </is>
      </c>
      <c r="T230" t="n">
        <v>0</v>
      </c>
    </row>
    <row r="231">
      <c r="A231" t="inlineStr">
        <is>
          <t>local_nh_intersection_density</t>
        </is>
      </c>
      <c r="B231" t="n">
        <v>13</v>
      </c>
      <c r="C231" t="inlineStr">
        <is>
          <t>I</t>
        </is>
      </c>
      <c r="D231" t="n">
        <v>20</v>
      </c>
      <c r="E231" t="n">
        <v>140</v>
      </c>
      <c r="F231" t="n">
        <v>180</v>
      </c>
      <c r="G231" t="n">
        <v>285</v>
      </c>
      <c r="I231" t="n">
        <v>0</v>
      </c>
      <c r="J231" t="n">
        <v>0</v>
      </c>
      <c r="K231" t="n">
        <v>0</v>
      </c>
      <c r="L231" t="n">
        <v>0</v>
      </c>
      <c r="N231" t="inlineStr">
        <is>
          <t>FFFFFF</t>
        </is>
      </c>
      <c r="O231" t="inlineStr">
        <is>
          <t>L</t>
        </is>
      </c>
      <c r="Q231" t="n">
        <v>2</v>
      </c>
      <c r="R231" t="b">
        <v>0</v>
      </c>
      <c r="S231" t="inlineStr">
        <is>
          <t xml:space="preserve"> </t>
        </is>
      </c>
      <c r="T231" t="n">
        <v>0</v>
      </c>
    </row>
    <row r="232">
      <c r="A232" t="inlineStr">
        <is>
          <t>Mean 1000 m neighbourhood street intersections per km²</t>
        </is>
      </c>
      <c r="B232" t="n">
        <v>13</v>
      </c>
      <c r="C232" t="inlineStr">
        <is>
          <t>T</t>
        </is>
      </c>
      <c r="D232" t="n">
        <v>14</v>
      </c>
      <c r="E232" t="n">
        <v>110</v>
      </c>
      <c r="F232" t="n">
        <v>196</v>
      </c>
      <c r="G232" t="n">
        <v>118</v>
      </c>
      <c r="H232" t="inlineStr">
        <is>
          <t>custom</t>
        </is>
      </c>
      <c r="I232" t="n">
        <v>14</v>
      </c>
      <c r="J232" t="n">
        <v>0</v>
      </c>
      <c r="K232" t="n">
        <v>0</v>
      </c>
      <c r="L232" t="n">
        <v>0</v>
      </c>
      <c r="M232" t="inlineStr">
        <is>
          <t>584b9f</t>
        </is>
      </c>
      <c r="N232" t="inlineStr">
        <is>
          <t>FFFFFF</t>
        </is>
      </c>
      <c r="O232" t="inlineStr">
        <is>
          <t>C</t>
        </is>
      </c>
      <c r="Q232" t="n">
        <v>3</v>
      </c>
      <c r="R232" t="b">
        <v>1</v>
      </c>
      <c r="S232" t="inlineStr">
        <is>
          <t xml:space="preserve"> </t>
        </is>
      </c>
      <c r="T232" t="n">
        <v>0</v>
      </c>
    </row>
    <row r="233">
      <c r="A233" t="inlineStr">
        <is>
          <t>pt_header</t>
        </is>
      </c>
      <c r="B233" t="n">
        <v>14</v>
      </c>
      <c r="C233" t="inlineStr">
        <is>
          <t>T</t>
        </is>
      </c>
      <c r="D233" t="n">
        <v>14</v>
      </c>
      <c r="E233" t="n">
        <v>20</v>
      </c>
      <c r="F233" t="n">
        <v>196</v>
      </c>
      <c r="G233" t="n">
        <v>25</v>
      </c>
      <c r="H233" t="inlineStr">
        <is>
          <t>custom</t>
        </is>
      </c>
      <c r="I233" t="n">
        <v>14</v>
      </c>
      <c r="J233" t="n">
        <v>1</v>
      </c>
      <c r="K233" t="n">
        <v>0</v>
      </c>
      <c r="L233" t="n">
        <v>0</v>
      </c>
      <c r="N233" t="inlineStr">
        <is>
          <t>FFFFFF</t>
        </is>
      </c>
      <c r="O233" t="inlineStr">
        <is>
          <t>L</t>
        </is>
      </c>
      <c r="Q233" t="n">
        <v>2</v>
      </c>
      <c r="R233" t="b">
        <v>0</v>
      </c>
      <c r="S233" t="inlineStr">
        <is>
          <t xml:space="preserve"> </t>
        </is>
      </c>
      <c r="T233" t="n">
        <v>0</v>
      </c>
    </row>
    <row r="234">
      <c r="A234" t="inlineStr">
        <is>
          <t>pt_description</t>
        </is>
      </c>
      <c r="B234" t="n">
        <v>14</v>
      </c>
      <c r="C234" t="inlineStr">
        <is>
          <t>T</t>
        </is>
      </c>
      <c r="D234" t="n">
        <v>14</v>
      </c>
      <c r="E234" t="n">
        <v>33</v>
      </c>
      <c r="F234" t="n">
        <v>196</v>
      </c>
      <c r="G234" t="n">
        <v>38</v>
      </c>
      <c r="H234" t="inlineStr">
        <is>
          <t>custom</t>
        </is>
      </c>
      <c r="I234" t="n">
        <v>12</v>
      </c>
      <c r="J234" t="n">
        <v>0</v>
      </c>
      <c r="K234" t="n">
        <v>0</v>
      </c>
      <c r="L234" t="n">
        <v>0</v>
      </c>
      <c r="M234" s="23" t="n"/>
      <c r="N234" t="inlineStr">
        <is>
          <t>FFFFFF</t>
        </is>
      </c>
      <c r="O234" t="inlineStr">
        <is>
          <t>L</t>
        </is>
      </c>
      <c r="P234" s="1" t="n"/>
      <c r="Q234" t="n">
        <v>2</v>
      </c>
      <c r="R234" t="b">
        <v>1</v>
      </c>
      <c r="S234" t="inlineStr">
        <is>
          <t xml:space="preserve"> </t>
        </is>
      </c>
      <c r="T234" t="n">
        <v>0</v>
      </c>
    </row>
    <row r="235">
      <c r="A235" t="inlineStr">
        <is>
          <t>policy_checklist3_box</t>
        </is>
      </c>
      <c r="B235" t="n">
        <v>14</v>
      </c>
      <c r="C235" t="inlineStr">
        <is>
          <t>B</t>
        </is>
      </c>
      <c r="D235" t="n">
        <v>0</v>
      </c>
      <c r="E235" t="n">
        <v>120</v>
      </c>
      <c r="F235" t="n">
        <v>210</v>
      </c>
      <c r="G235" t="n">
        <v>204</v>
      </c>
      <c r="I235" t="n">
        <v>0</v>
      </c>
      <c r="J235" t="n">
        <v>1</v>
      </c>
      <c r="K235" t="n">
        <v>0</v>
      </c>
      <c r="L235" t="n">
        <v>0</v>
      </c>
      <c r="M235" t="inlineStr">
        <is>
          <t>d0d8dd</t>
        </is>
      </c>
      <c r="N235" t="inlineStr">
        <is>
          <t>d0d8dd</t>
        </is>
      </c>
      <c r="O235" t="inlineStr">
        <is>
          <t>L</t>
        </is>
      </c>
      <c r="Q235" t="n">
        <v>1</v>
      </c>
      <c r="R235" t="b">
        <v>0</v>
      </c>
      <c r="S235" t="inlineStr">
        <is>
          <t xml:space="preserve"> </t>
        </is>
      </c>
      <c r="T235" t="n">
        <v>0</v>
      </c>
    </row>
    <row r="236">
      <c r="A236" t="inlineStr">
        <is>
          <t>policy_checklist3_title</t>
        </is>
      </c>
      <c r="B236" t="n">
        <v>-999</v>
      </c>
      <c r="C236" t="inlineStr">
        <is>
          <t>T</t>
        </is>
      </c>
      <c r="D236" t="n">
        <v>14</v>
      </c>
      <c r="E236" t="n">
        <v>125</v>
      </c>
      <c r="F236" t="n">
        <v>196</v>
      </c>
      <c r="G236" t="n">
        <v>128</v>
      </c>
      <c r="H236" t="inlineStr">
        <is>
          <t>custom</t>
        </is>
      </c>
      <c r="I236" t="n">
        <v>12</v>
      </c>
      <c r="J236" t="n">
        <v>1</v>
      </c>
      <c r="K236" t="n">
        <v>0</v>
      </c>
      <c r="L236" t="n">
        <v>0</v>
      </c>
      <c r="N236" t="inlineStr">
        <is>
          <t>d0d8dd</t>
        </is>
      </c>
      <c r="O236" t="inlineStr">
        <is>
          <t>L</t>
        </is>
      </c>
      <c r="Q236" t="n">
        <v>3</v>
      </c>
      <c r="R236" t="b">
        <v>0</v>
      </c>
      <c r="S236" t="inlineStr">
        <is>
          <t xml:space="preserve"> </t>
        </is>
      </c>
      <c r="T236" t="n">
        <v>0</v>
      </c>
    </row>
    <row r="237">
      <c r="A237" t="inlineStr">
        <is>
          <t>policy_checklist_header1</t>
        </is>
      </c>
      <c r="B237" t="n">
        <v>14</v>
      </c>
      <c r="C237" t="inlineStr">
        <is>
          <t>T</t>
        </is>
      </c>
      <c r="D237" t="n">
        <v>113</v>
      </c>
      <c r="E237" t="n">
        <v>122</v>
      </c>
      <c r="F237" t="n">
        <v>140</v>
      </c>
      <c r="G237" t="n">
        <v>127</v>
      </c>
      <c r="H237" t="inlineStr">
        <is>
          <t>custom</t>
        </is>
      </c>
      <c r="I237" t="n">
        <v>10</v>
      </c>
      <c r="J237" t="n">
        <v>1</v>
      </c>
      <c r="K237" t="n">
        <v>0</v>
      </c>
      <c r="L237" t="n">
        <v>0</v>
      </c>
      <c r="N237" t="inlineStr">
        <is>
          <t>d0d8dd</t>
        </is>
      </c>
      <c r="O237" t="inlineStr">
        <is>
          <t>C</t>
        </is>
      </c>
      <c r="Q237" t="n">
        <v>3</v>
      </c>
      <c r="R237" t="b">
        <v>1</v>
      </c>
      <c r="S237" t="inlineStr">
        <is>
          <t xml:space="preserve"> </t>
        </is>
      </c>
      <c r="T237" t="n">
        <v>0</v>
      </c>
    </row>
    <row r="238">
      <c r="A238" t="inlineStr">
        <is>
          <t>policy_checklist_header2</t>
        </is>
      </c>
      <c r="B238" t="n">
        <v>14</v>
      </c>
      <c r="C238" t="inlineStr">
        <is>
          <t>T</t>
        </is>
      </c>
      <c r="D238" t="n">
        <v>140</v>
      </c>
      <c r="E238" t="n">
        <v>122</v>
      </c>
      <c r="F238" t="n">
        <v>169</v>
      </c>
      <c r="G238" t="n">
        <v>127</v>
      </c>
      <c r="H238" t="inlineStr">
        <is>
          <t>custom</t>
        </is>
      </c>
      <c r="I238" t="n">
        <v>10</v>
      </c>
      <c r="J238" t="n">
        <v>1</v>
      </c>
      <c r="K238" t="n">
        <v>0</v>
      </c>
      <c r="L238" t="n">
        <v>0</v>
      </c>
      <c r="N238" t="inlineStr">
        <is>
          <t>d0d8dd</t>
        </is>
      </c>
      <c r="O238" t="inlineStr">
        <is>
          <t>C</t>
        </is>
      </c>
      <c r="Q238" t="n">
        <v>3</v>
      </c>
      <c r="R238" t="b">
        <v>1</v>
      </c>
      <c r="S238" t="inlineStr">
        <is>
          <t xml:space="preserve"> </t>
        </is>
      </c>
      <c r="T238" t="n">
        <v>0</v>
      </c>
    </row>
    <row r="239">
      <c r="A239" t="inlineStr">
        <is>
          <t>policy_checklist_header3</t>
        </is>
      </c>
      <c r="B239" t="n">
        <v>14</v>
      </c>
      <c r="C239" t="inlineStr">
        <is>
          <t>T</t>
        </is>
      </c>
      <c r="D239" t="n">
        <v>168</v>
      </c>
      <c r="E239" t="n">
        <v>122</v>
      </c>
      <c r="F239" t="n">
        <v>194</v>
      </c>
      <c r="G239" t="n">
        <v>127</v>
      </c>
      <c r="H239" t="inlineStr">
        <is>
          <t>custom</t>
        </is>
      </c>
      <c r="I239" t="n">
        <v>10</v>
      </c>
      <c r="J239" t="n">
        <v>1</v>
      </c>
      <c r="K239" t="n">
        <v>0</v>
      </c>
      <c r="L239" t="n">
        <v>0</v>
      </c>
      <c r="N239" t="inlineStr">
        <is>
          <t>d0d8dd</t>
        </is>
      </c>
      <c r="O239" t="inlineStr">
        <is>
          <t>C</t>
        </is>
      </c>
      <c r="Q239" t="n">
        <v>3</v>
      </c>
      <c r="R239" t="b">
        <v>1</v>
      </c>
      <c r="S239" t="inlineStr">
        <is>
          <t xml:space="preserve"> </t>
        </is>
      </c>
      <c r="T239" t="n">
        <v>0</v>
      </c>
    </row>
    <row r="240">
      <c r="A240" t="inlineStr">
        <is>
          <t>table_vline1</t>
        </is>
      </c>
      <c r="B240" t="n">
        <v>14</v>
      </c>
      <c r="C240" t="inlineStr">
        <is>
          <t>L</t>
        </is>
      </c>
      <c r="D240" t="n">
        <v>114</v>
      </c>
      <c r="E240" t="n">
        <v>120</v>
      </c>
      <c r="F240" t="n">
        <v>114</v>
      </c>
      <c r="G240" t="n">
        <v>204</v>
      </c>
      <c r="I240" t="n">
        <v>0.5</v>
      </c>
      <c r="J240" t="n">
        <v>0</v>
      </c>
      <c r="K240" t="n">
        <v>0</v>
      </c>
      <c r="L240" t="n">
        <v>0</v>
      </c>
      <c r="M240" t="inlineStr">
        <is>
          <t>FFFFFF</t>
        </is>
      </c>
      <c r="N240" t="inlineStr">
        <is>
          <t>d0d8dd</t>
        </is>
      </c>
      <c r="O240" t="inlineStr">
        <is>
          <t>L</t>
        </is>
      </c>
      <c r="Q240" t="n">
        <v>4</v>
      </c>
      <c r="R240" t="b">
        <v>0</v>
      </c>
      <c r="S240" t="inlineStr">
        <is>
          <t xml:space="preserve"> </t>
        </is>
      </c>
      <c r="T240" t="n">
        <v>0</v>
      </c>
    </row>
    <row r="241">
      <c r="A241" t="inlineStr">
        <is>
          <t>table_vline2</t>
        </is>
      </c>
      <c r="B241" t="n">
        <v>14</v>
      </c>
      <c r="C241" t="inlineStr">
        <is>
          <t>L</t>
        </is>
      </c>
      <c r="D241" t="n">
        <v>141</v>
      </c>
      <c r="E241" t="n">
        <v>120</v>
      </c>
      <c r="F241" t="n">
        <v>141</v>
      </c>
      <c r="G241" t="n">
        <v>204</v>
      </c>
      <c r="I241" t="n">
        <v>0.5</v>
      </c>
      <c r="J241" t="n">
        <v>0</v>
      </c>
      <c r="K241" t="n">
        <v>0</v>
      </c>
      <c r="L241" t="n">
        <v>0</v>
      </c>
      <c r="M241" t="inlineStr">
        <is>
          <t>FFFFFF</t>
        </is>
      </c>
      <c r="N241" t="inlineStr">
        <is>
          <t>d0d8dd</t>
        </is>
      </c>
      <c r="O241" t="inlineStr">
        <is>
          <t>L</t>
        </is>
      </c>
      <c r="Q241" t="n">
        <v>4</v>
      </c>
      <c r="R241" t="b">
        <v>0</v>
      </c>
      <c r="S241" t="inlineStr">
        <is>
          <t xml:space="preserve"> </t>
        </is>
      </c>
      <c r="T241" t="n">
        <v>0</v>
      </c>
    </row>
    <row r="242">
      <c r="A242" t="inlineStr">
        <is>
          <t>table_vline3</t>
        </is>
      </c>
      <c r="B242" t="n">
        <v>14</v>
      </c>
      <c r="C242" t="inlineStr">
        <is>
          <t>L</t>
        </is>
      </c>
      <c r="D242" t="n">
        <v>168</v>
      </c>
      <c r="E242" t="n">
        <v>120</v>
      </c>
      <c r="F242" t="n">
        <v>168</v>
      </c>
      <c r="G242" t="n">
        <v>204</v>
      </c>
      <c r="I242" t="n">
        <v>0.5</v>
      </c>
      <c r="J242" t="n">
        <v>0</v>
      </c>
      <c r="K242" t="n">
        <v>0</v>
      </c>
      <c r="L242" t="n">
        <v>0</v>
      </c>
      <c r="M242" t="inlineStr">
        <is>
          <t>FFFFFF</t>
        </is>
      </c>
      <c r="N242" t="inlineStr">
        <is>
          <t>d0d8dd</t>
        </is>
      </c>
      <c r="O242" t="inlineStr">
        <is>
          <t>L</t>
        </is>
      </c>
      <c r="Q242" t="n">
        <v>4</v>
      </c>
      <c r="R242" t="b">
        <v>0</v>
      </c>
      <c r="S242" t="inlineStr">
        <is>
          <t xml:space="preserve"> </t>
        </is>
      </c>
      <c r="T242" t="n">
        <v>0</v>
      </c>
    </row>
    <row r="243">
      <c r="A243" t="inlineStr">
        <is>
          <t>table_hline_mid</t>
        </is>
      </c>
      <c r="B243" t="n">
        <v>14</v>
      </c>
      <c r="C243" t="inlineStr">
        <is>
          <t>L</t>
        </is>
      </c>
      <c r="D243" t="n">
        <v>14</v>
      </c>
      <c r="E243" t="n">
        <v>147</v>
      </c>
      <c r="F243" t="n">
        <v>196</v>
      </c>
      <c r="G243" t="n">
        <v>147</v>
      </c>
      <c r="I243" t="n">
        <v>0.5</v>
      </c>
      <c r="J243" t="n">
        <v>0</v>
      </c>
      <c r="K243" t="n">
        <v>0</v>
      </c>
      <c r="L243" t="n">
        <v>0</v>
      </c>
      <c r="M243" t="inlineStr">
        <is>
          <t>FFFFFF</t>
        </is>
      </c>
      <c r="N243" t="inlineStr">
        <is>
          <t>d0d8dd</t>
        </is>
      </c>
      <c r="O243" t="inlineStr">
        <is>
          <t>L</t>
        </is>
      </c>
      <c r="Q243" t="n">
        <v>4</v>
      </c>
      <c r="R243" t="b">
        <v>0</v>
      </c>
      <c r="S243" t="inlineStr">
        <is>
          <t xml:space="preserve"> </t>
        </is>
      </c>
      <c r="T243" t="n">
        <v>0</v>
      </c>
    </row>
    <row r="244">
      <c r="A244" t="inlineStr">
        <is>
          <t>Policy key</t>
        </is>
      </c>
      <c r="B244" t="n">
        <v>14</v>
      </c>
      <c r="C244" t="inlineStr">
        <is>
          <t>T</t>
        </is>
      </c>
      <c r="D244" t="n">
        <v>14</v>
      </c>
      <c r="E244" t="n">
        <v>206</v>
      </c>
      <c r="F244" t="n">
        <v>196</v>
      </c>
      <c r="G244" t="n">
        <v>210</v>
      </c>
      <c r="H244" t="inlineStr">
        <is>
          <t>custom</t>
        </is>
      </c>
      <c r="I244" t="n">
        <v>10</v>
      </c>
      <c r="J244" t="n">
        <v>0</v>
      </c>
      <c r="K244" t="n">
        <v>0</v>
      </c>
      <c r="L244" t="n">
        <v>0</v>
      </c>
      <c r="N244" t="inlineStr">
        <is>
          <t>FFFFFF</t>
        </is>
      </c>
      <c r="O244" t="inlineStr">
        <is>
          <t>R</t>
        </is>
      </c>
      <c r="Q244" t="n">
        <v>2</v>
      </c>
      <c r="R244" t="b">
        <v>0</v>
      </c>
      <c r="S244" t="inlineStr">
        <is>
          <t xml:space="preserve"> </t>
        </is>
      </c>
      <c r="T244" t="n">
        <v>0</v>
      </c>
    </row>
    <row r="245" ht="15.75" customHeight="1">
      <c r="A245" t="inlineStr">
        <is>
          <t>policy_checklist3_text1</t>
        </is>
      </c>
      <c r="B245" t="n">
        <v>14</v>
      </c>
      <c r="C245" t="inlineStr">
        <is>
          <t>T</t>
        </is>
      </c>
      <c r="D245" t="n">
        <v>14</v>
      </c>
      <c r="E245" t="n">
        <v>149</v>
      </c>
      <c r="F245" t="n">
        <v>112</v>
      </c>
      <c r="G245" t="n">
        <v>154</v>
      </c>
      <c r="H245" t="inlineStr">
        <is>
          <t>custom</t>
        </is>
      </c>
      <c r="I245" t="n">
        <v>12</v>
      </c>
      <c r="J245" t="n">
        <v>0</v>
      </c>
      <c r="K245" t="n">
        <v>0</v>
      </c>
      <c r="L245" t="n">
        <v>0</v>
      </c>
      <c r="N245" t="inlineStr">
        <is>
          <t>d0d8dd</t>
        </is>
      </c>
      <c r="O245" t="inlineStr">
        <is>
          <t>L</t>
        </is>
      </c>
      <c r="Q245" t="n">
        <v>3</v>
      </c>
      <c r="R245" t="b">
        <v>1</v>
      </c>
      <c r="S245" t="inlineStr">
        <is>
          <t xml:space="preserve"> </t>
        </is>
      </c>
      <c r="T245" t="n">
        <v>0</v>
      </c>
    </row>
    <row r="246">
      <c r="A246" t="inlineStr">
        <is>
          <t>policy_checklist3_text1_response1</t>
        </is>
      </c>
      <c r="B246" t="n">
        <v>14</v>
      </c>
      <c r="C246" t="inlineStr">
        <is>
          <t>T</t>
        </is>
      </c>
      <c r="D246" t="n">
        <v>113</v>
      </c>
      <c r="E246" t="n">
        <v>150</v>
      </c>
      <c r="F246" t="n">
        <v>140</v>
      </c>
      <c r="G246" t="n">
        <v>153</v>
      </c>
      <c r="H246" t="inlineStr">
        <is>
          <t>dejavu</t>
        </is>
      </c>
      <c r="I246" t="n">
        <v>16</v>
      </c>
      <c r="J246" t="n">
        <v>1</v>
      </c>
      <c r="K246" t="n">
        <v>0</v>
      </c>
      <c r="L246" t="n">
        <v>0</v>
      </c>
      <c r="N246" t="inlineStr">
        <is>
          <t>d0d8dd</t>
        </is>
      </c>
      <c r="O246" t="inlineStr">
        <is>
          <t>C</t>
        </is>
      </c>
      <c r="Q246" t="n">
        <v>2</v>
      </c>
      <c r="R246" t="b">
        <v>0</v>
      </c>
      <c r="S246" t="inlineStr">
        <is>
          <t xml:space="preserve"> </t>
        </is>
      </c>
      <c r="T246" t="n">
        <v>0</v>
      </c>
    </row>
    <row r="247">
      <c r="A247" t="inlineStr">
        <is>
          <t>policy_checklist3_text1_response2</t>
        </is>
      </c>
      <c r="B247" t="n">
        <v>14</v>
      </c>
      <c r="C247" t="inlineStr">
        <is>
          <t>T</t>
        </is>
      </c>
      <c r="D247" t="n">
        <v>140</v>
      </c>
      <c r="E247" t="n">
        <v>150</v>
      </c>
      <c r="F247" t="n">
        <v>169</v>
      </c>
      <c r="G247" t="n">
        <v>153</v>
      </c>
      <c r="H247" t="inlineStr">
        <is>
          <t>dejavu</t>
        </is>
      </c>
      <c r="I247" t="n">
        <v>16</v>
      </c>
      <c r="J247" t="n">
        <v>1</v>
      </c>
      <c r="K247" t="n">
        <v>0</v>
      </c>
      <c r="L247" t="n">
        <v>0</v>
      </c>
      <c r="N247" t="inlineStr">
        <is>
          <t>d0d8dd</t>
        </is>
      </c>
      <c r="O247" t="inlineStr">
        <is>
          <t>C</t>
        </is>
      </c>
      <c r="Q247" t="n">
        <v>2</v>
      </c>
      <c r="R247" t="b">
        <v>0</v>
      </c>
      <c r="S247" t="inlineStr">
        <is>
          <t xml:space="preserve"> </t>
        </is>
      </c>
      <c r="T247" t="n">
        <v>0</v>
      </c>
    </row>
    <row r="248">
      <c r="A248" t="inlineStr">
        <is>
          <t>policy_checklist3_text1_response3</t>
        </is>
      </c>
      <c r="B248" t="n">
        <v>14</v>
      </c>
      <c r="C248" t="inlineStr">
        <is>
          <t>T</t>
        </is>
      </c>
      <c r="D248" t="n">
        <v>168</v>
      </c>
      <c r="E248" t="n">
        <v>150</v>
      </c>
      <c r="F248" t="n">
        <v>194</v>
      </c>
      <c r="G248" t="n">
        <v>153</v>
      </c>
      <c r="H248" t="inlineStr">
        <is>
          <t>dejavu</t>
        </is>
      </c>
      <c r="I248" t="n">
        <v>16</v>
      </c>
      <c r="J248" t="n">
        <v>1</v>
      </c>
      <c r="K248" t="n">
        <v>0</v>
      </c>
      <c r="L248" t="n">
        <v>0</v>
      </c>
      <c r="N248" t="inlineStr">
        <is>
          <t>d0d8dd</t>
        </is>
      </c>
      <c r="O248" t="inlineStr">
        <is>
          <t>C</t>
        </is>
      </c>
      <c r="Q248" t="n">
        <v>2</v>
      </c>
      <c r="R248" t="b">
        <v>0</v>
      </c>
      <c r="S248" t="inlineStr">
        <is>
          <t xml:space="preserve"> </t>
        </is>
      </c>
      <c r="T248" t="n">
        <v>0</v>
      </c>
    </row>
    <row r="249" ht="15.75" customHeight="1">
      <c r="A249" t="inlineStr">
        <is>
          <t>policy_checklist3_text2</t>
        </is>
      </c>
      <c r="B249" t="n">
        <v>14</v>
      </c>
      <c r="C249" t="inlineStr">
        <is>
          <t>T</t>
        </is>
      </c>
      <c r="D249" t="n">
        <v>14</v>
      </c>
      <c r="E249" t="n">
        <v>167</v>
      </c>
      <c r="F249" t="n">
        <v>112</v>
      </c>
      <c r="G249" t="n">
        <v>172</v>
      </c>
      <c r="H249" t="inlineStr">
        <is>
          <t>custom</t>
        </is>
      </c>
      <c r="I249" t="n">
        <v>12</v>
      </c>
      <c r="J249" t="n">
        <v>0</v>
      </c>
      <c r="K249" t="n">
        <v>0</v>
      </c>
      <c r="L249" t="n">
        <v>0</v>
      </c>
      <c r="N249" t="inlineStr">
        <is>
          <t>d0d8dd</t>
        </is>
      </c>
      <c r="O249" t="inlineStr">
        <is>
          <t>L</t>
        </is>
      </c>
      <c r="Q249" t="n">
        <v>3</v>
      </c>
      <c r="R249" t="b">
        <v>1</v>
      </c>
      <c r="S249" t="inlineStr">
        <is>
          <t xml:space="preserve"> </t>
        </is>
      </c>
      <c r="T249" t="n">
        <v>0</v>
      </c>
    </row>
    <row r="250">
      <c r="A250" t="inlineStr">
        <is>
          <t>policy_checklist3_text2_response1</t>
        </is>
      </c>
      <c r="B250" t="n">
        <v>14</v>
      </c>
      <c r="C250" t="inlineStr">
        <is>
          <t>T</t>
        </is>
      </c>
      <c r="D250" t="n">
        <v>113</v>
      </c>
      <c r="E250" t="n">
        <v>168</v>
      </c>
      <c r="F250" t="n">
        <v>140</v>
      </c>
      <c r="G250" t="n">
        <v>171</v>
      </c>
      <c r="H250" t="inlineStr">
        <is>
          <t>dejavu</t>
        </is>
      </c>
      <c r="I250" t="n">
        <v>16</v>
      </c>
      <c r="J250" t="n">
        <v>1</v>
      </c>
      <c r="K250" t="n">
        <v>0</v>
      </c>
      <c r="L250" t="n">
        <v>0</v>
      </c>
      <c r="N250" t="inlineStr">
        <is>
          <t>d0d8dd</t>
        </is>
      </c>
      <c r="O250" t="inlineStr">
        <is>
          <t>C</t>
        </is>
      </c>
      <c r="Q250" t="n">
        <v>2</v>
      </c>
      <c r="R250" t="b">
        <v>0</v>
      </c>
      <c r="S250" t="inlineStr">
        <is>
          <t xml:space="preserve"> </t>
        </is>
      </c>
      <c r="T250" t="n">
        <v>0</v>
      </c>
    </row>
    <row r="251">
      <c r="A251" t="inlineStr">
        <is>
          <t>policy_checklist3_text2_response2</t>
        </is>
      </c>
      <c r="B251" t="n">
        <v>14</v>
      </c>
      <c r="C251" t="inlineStr">
        <is>
          <t>T</t>
        </is>
      </c>
      <c r="D251" t="n">
        <v>140</v>
      </c>
      <c r="E251" t="n">
        <v>168</v>
      </c>
      <c r="F251" t="n">
        <v>169</v>
      </c>
      <c r="G251" t="n">
        <v>171</v>
      </c>
      <c r="H251" t="inlineStr">
        <is>
          <t>dejavu</t>
        </is>
      </c>
      <c r="I251" t="n">
        <v>16</v>
      </c>
      <c r="J251" t="n">
        <v>1</v>
      </c>
      <c r="K251" t="n">
        <v>0</v>
      </c>
      <c r="L251" t="n">
        <v>0</v>
      </c>
      <c r="N251" t="inlineStr">
        <is>
          <t>d0d8dd</t>
        </is>
      </c>
      <c r="O251" t="inlineStr">
        <is>
          <t>C</t>
        </is>
      </c>
      <c r="Q251" t="n">
        <v>2</v>
      </c>
      <c r="R251" t="b">
        <v>0</v>
      </c>
      <c r="S251" t="inlineStr">
        <is>
          <t xml:space="preserve"> </t>
        </is>
      </c>
      <c r="T251" t="n">
        <v>0</v>
      </c>
    </row>
    <row r="252">
      <c r="A252" t="inlineStr">
        <is>
          <t>policy_checklist3_text2_response3</t>
        </is>
      </c>
      <c r="B252" t="n">
        <v>14</v>
      </c>
      <c r="C252" t="inlineStr">
        <is>
          <t>T</t>
        </is>
      </c>
      <c r="D252" t="n">
        <v>168</v>
      </c>
      <c r="E252" t="n">
        <v>168</v>
      </c>
      <c r="F252" t="n">
        <v>194</v>
      </c>
      <c r="G252" t="n">
        <v>171</v>
      </c>
      <c r="H252" t="inlineStr">
        <is>
          <t>dejavu</t>
        </is>
      </c>
      <c r="I252" t="n">
        <v>16</v>
      </c>
      <c r="J252" t="n">
        <v>1</v>
      </c>
      <c r="K252" t="n">
        <v>0</v>
      </c>
      <c r="L252" t="n">
        <v>0</v>
      </c>
      <c r="N252" t="inlineStr">
        <is>
          <t>d0d8dd</t>
        </is>
      </c>
      <c r="O252" t="inlineStr">
        <is>
          <t>C</t>
        </is>
      </c>
      <c r="Q252" t="n">
        <v>2</v>
      </c>
      <c r="R252" t="b">
        <v>0</v>
      </c>
      <c r="S252" t="inlineStr">
        <is>
          <t xml:space="preserve"> </t>
        </is>
      </c>
      <c r="T252" t="n">
        <v>0</v>
      </c>
    </row>
    <row r="253" ht="15.75" customHeight="1">
      <c r="A253" t="inlineStr">
        <is>
          <t>policy_checklist3_text3</t>
        </is>
      </c>
      <c r="B253" t="n">
        <v>14</v>
      </c>
      <c r="C253" t="inlineStr">
        <is>
          <t>T</t>
        </is>
      </c>
      <c r="D253" t="n">
        <v>14</v>
      </c>
      <c r="E253" t="n">
        <v>185</v>
      </c>
      <c r="F253" t="n">
        <v>112</v>
      </c>
      <c r="G253" t="n">
        <v>190</v>
      </c>
      <c r="H253" t="inlineStr">
        <is>
          <t>custom</t>
        </is>
      </c>
      <c r="I253" t="n">
        <v>12</v>
      </c>
      <c r="J253" t="n">
        <v>0</v>
      </c>
      <c r="K253" t="n">
        <v>0</v>
      </c>
      <c r="L253" t="n">
        <v>0</v>
      </c>
      <c r="N253" t="inlineStr">
        <is>
          <t>d0d8dd</t>
        </is>
      </c>
      <c r="O253" t="inlineStr">
        <is>
          <t>L</t>
        </is>
      </c>
      <c r="Q253" t="n">
        <v>3</v>
      </c>
      <c r="R253" t="b">
        <v>1</v>
      </c>
      <c r="S253" t="inlineStr">
        <is>
          <t xml:space="preserve"> </t>
        </is>
      </c>
      <c r="T253" t="n">
        <v>0</v>
      </c>
    </row>
    <row r="254">
      <c r="A254" t="inlineStr">
        <is>
          <t>policy_checklist3_text3_response1</t>
        </is>
      </c>
      <c r="B254" t="n">
        <v>14</v>
      </c>
      <c r="C254" t="inlineStr">
        <is>
          <t>T</t>
        </is>
      </c>
      <c r="D254" t="n">
        <v>113</v>
      </c>
      <c r="E254" t="n">
        <v>186</v>
      </c>
      <c r="F254" t="n">
        <v>140</v>
      </c>
      <c r="G254" t="n">
        <v>189</v>
      </c>
      <c r="H254" t="inlineStr">
        <is>
          <t>dejavu</t>
        </is>
      </c>
      <c r="I254" t="n">
        <v>16</v>
      </c>
      <c r="J254" t="n">
        <v>1</v>
      </c>
      <c r="K254" t="n">
        <v>0</v>
      </c>
      <c r="L254" t="n">
        <v>0</v>
      </c>
      <c r="N254" t="inlineStr">
        <is>
          <t>d0d8dd</t>
        </is>
      </c>
      <c r="O254" t="inlineStr">
        <is>
          <t>C</t>
        </is>
      </c>
      <c r="Q254" t="n">
        <v>2</v>
      </c>
      <c r="R254" t="b">
        <v>0</v>
      </c>
      <c r="S254" t="inlineStr">
        <is>
          <t xml:space="preserve"> </t>
        </is>
      </c>
      <c r="T254" t="n">
        <v>0</v>
      </c>
    </row>
    <row r="255">
      <c r="A255" t="inlineStr">
        <is>
          <t>policy_checklist3_text3_response2</t>
        </is>
      </c>
      <c r="B255" t="n">
        <v>14</v>
      </c>
      <c r="C255" t="inlineStr">
        <is>
          <t>T</t>
        </is>
      </c>
      <c r="D255" t="n">
        <v>140</v>
      </c>
      <c r="E255" t="n">
        <v>186</v>
      </c>
      <c r="F255" t="n">
        <v>169</v>
      </c>
      <c r="G255" t="n">
        <v>189</v>
      </c>
      <c r="H255" t="inlineStr">
        <is>
          <t>dejavu</t>
        </is>
      </c>
      <c r="I255" t="n">
        <v>16</v>
      </c>
      <c r="J255" t="n">
        <v>1</v>
      </c>
      <c r="K255" t="n">
        <v>0</v>
      </c>
      <c r="L255" t="n">
        <v>0</v>
      </c>
      <c r="N255" t="inlineStr">
        <is>
          <t>d0d8dd</t>
        </is>
      </c>
      <c r="O255" t="inlineStr">
        <is>
          <t>C</t>
        </is>
      </c>
      <c r="Q255" t="n">
        <v>2</v>
      </c>
      <c r="R255" t="b">
        <v>0</v>
      </c>
      <c r="S255" t="inlineStr">
        <is>
          <t xml:space="preserve"> </t>
        </is>
      </c>
      <c r="T255" t="n">
        <v>0</v>
      </c>
    </row>
    <row r="256">
      <c r="A256" t="inlineStr">
        <is>
          <t>policy_checklist3_text3_response3</t>
        </is>
      </c>
      <c r="B256" t="n">
        <v>14</v>
      </c>
      <c r="C256" t="inlineStr">
        <is>
          <t>T</t>
        </is>
      </c>
      <c r="D256" t="n">
        <v>168</v>
      </c>
      <c r="E256" t="n">
        <v>186</v>
      </c>
      <c r="F256" t="n">
        <v>194</v>
      </c>
      <c r="G256" t="n">
        <v>189</v>
      </c>
      <c r="H256" t="inlineStr">
        <is>
          <t>dejavu</t>
        </is>
      </c>
      <c r="I256" t="n">
        <v>16</v>
      </c>
      <c r="J256" t="n">
        <v>1</v>
      </c>
      <c r="K256" t="n">
        <v>0</v>
      </c>
      <c r="L256" t="n">
        <v>0</v>
      </c>
      <c r="N256" t="inlineStr">
        <is>
          <t>d0d8dd</t>
        </is>
      </c>
      <c r="O256" t="inlineStr">
        <is>
          <t>C</t>
        </is>
      </c>
      <c r="Q256" t="n">
        <v>2</v>
      </c>
      <c r="R256" t="b">
        <v>0</v>
      </c>
      <c r="S256" t="inlineStr">
        <is>
          <t xml:space="preserve"> </t>
        </is>
      </c>
      <c r="T256" t="n">
        <v>0</v>
      </c>
    </row>
    <row r="257">
      <c r="A257" t="inlineStr">
        <is>
          <t>pct_access_400m_pt.jpg</t>
        </is>
      </c>
      <c r="B257" t="n">
        <v>15</v>
      </c>
      <c r="C257" t="inlineStr">
        <is>
          <t>I</t>
        </is>
      </c>
      <c r="D257" t="n">
        <v>14</v>
      </c>
      <c r="E257" t="n">
        <v>60</v>
      </c>
      <c r="F257" t="n">
        <v>196</v>
      </c>
      <c r="G257" t="n">
        <v>225</v>
      </c>
      <c r="I257" t="n">
        <v>0</v>
      </c>
      <c r="J257" t="n">
        <v>0</v>
      </c>
      <c r="K257" t="n">
        <v>0</v>
      </c>
      <c r="L257" t="n">
        <v>0</v>
      </c>
      <c r="N257" t="inlineStr">
        <is>
          <t>FFFFFF</t>
        </is>
      </c>
      <c r="O257" t="inlineStr">
        <is>
          <t>L</t>
        </is>
      </c>
      <c r="Q257" t="n">
        <v>2</v>
      </c>
      <c r="R257" t="b">
        <v>0</v>
      </c>
      <c r="S257" t="inlineStr">
        <is>
          <t xml:space="preserve"> </t>
        </is>
      </c>
      <c r="T257" t="n">
        <v>0</v>
      </c>
    </row>
    <row r="258">
      <c r="A258" t="inlineStr">
        <is>
          <t>pct_access_400m_pt_label</t>
        </is>
      </c>
      <c r="B258" t="n">
        <v>15</v>
      </c>
      <c r="C258" t="inlineStr">
        <is>
          <t>T</t>
        </is>
      </c>
      <c r="D258" t="n">
        <v>30</v>
      </c>
      <c r="E258" t="n">
        <v>233</v>
      </c>
      <c r="F258" t="n">
        <v>180</v>
      </c>
      <c r="G258" t="n">
        <v>241</v>
      </c>
      <c r="H258" t="inlineStr">
        <is>
          <t>custom</t>
        </is>
      </c>
      <c r="I258" t="n">
        <v>16</v>
      </c>
      <c r="J258" t="n">
        <v>0</v>
      </c>
      <c r="K258" t="n">
        <v>0</v>
      </c>
      <c r="L258" t="n">
        <v>0</v>
      </c>
      <c r="M258" t="inlineStr">
        <is>
          <t>584b9f</t>
        </is>
      </c>
      <c r="N258" t="inlineStr">
        <is>
          <t>FFFFFF</t>
        </is>
      </c>
      <c r="O258" t="inlineStr">
        <is>
          <t>C</t>
        </is>
      </c>
      <c r="Q258" t="n">
        <v>2</v>
      </c>
      <c r="R258" t="b">
        <v>1</v>
      </c>
      <c r="S258" t="inlineStr">
        <is>
          <t xml:space="preserve"> </t>
        </is>
      </c>
      <c r="T258" t="n">
        <v>0</v>
      </c>
    </row>
    <row r="259">
      <c r="A259" t="inlineStr">
        <is>
          <t>pos_header</t>
        </is>
      </c>
      <c r="B259" t="n">
        <v>16</v>
      </c>
      <c r="C259" t="inlineStr">
        <is>
          <t>T</t>
        </is>
      </c>
      <c r="D259" t="n">
        <v>14</v>
      </c>
      <c r="E259" t="n">
        <v>20</v>
      </c>
      <c r="F259" t="n">
        <v>196</v>
      </c>
      <c r="G259" t="n">
        <v>23</v>
      </c>
      <c r="H259" t="inlineStr">
        <is>
          <t>custom</t>
        </is>
      </c>
      <c r="I259" t="n">
        <v>14</v>
      </c>
      <c r="J259" t="n">
        <v>1</v>
      </c>
      <c r="K259" t="n">
        <v>0</v>
      </c>
      <c r="L259" t="n">
        <v>0</v>
      </c>
      <c r="N259" t="inlineStr">
        <is>
          <t>FFFFFF</t>
        </is>
      </c>
      <c r="O259" t="inlineStr">
        <is>
          <t>L</t>
        </is>
      </c>
      <c r="Q259" t="n">
        <v>2</v>
      </c>
      <c r="R259" t="b">
        <v>0</v>
      </c>
      <c r="S259" t="inlineStr">
        <is>
          <t xml:space="preserve"> </t>
        </is>
      </c>
      <c r="T259" t="n">
        <v>0</v>
      </c>
    </row>
    <row r="260">
      <c r="A260" t="inlineStr">
        <is>
          <t>pos_description</t>
        </is>
      </c>
      <c r="B260" t="n">
        <v>16</v>
      </c>
      <c r="C260" t="inlineStr">
        <is>
          <t>T</t>
        </is>
      </c>
      <c r="D260" t="n">
        <v>14</v>
      </c>
      <c r="E260" t="n">
        <v>31</v>
      </c>
      <c r="F260" t="n">
        <v>196</v>
      </c>
      <c r="G260" t="n">
        <v>36</v>
      </c>
      <c r="H260" t="inlineStr">
        <is>
          <t>custom</t>
        </is>
      </c>
      <c r="I260" t="n">
        <v>12</v>
      </c>
      <c r="J260" t="n">
        <v>0</v>
      </c>
      <c r="K260" t="n">
        <v>0</v>
      </c>
      <c r="L260" t="n">
        <v>0</v>
      </c>
      <c r="N260" t="inlineStr">
        <is>
          <t>FFFFFF</t>
        </is>
      </c>
      <c r="O260" t="inlineStr">
        <is>
          <t>L</t>
        </is>
      </c>
      <c r="P260" s="1" t="n"/>
      <c r="Q260" t="n">
        <v>2</v>
      </c>
      <c r="R260" t="b">
        <v>1</v>
      </c>
      <c r="S260" t="inlineStr">
        <is>
          <t xml:space="preserve"> </t>
        </is>
      </c>
      <c r="T260" t="n">
        <v>0</v>
      </c>
    </row>
    <row r="261">
      <c r="A261" t="inlineStr">
        <is>
          <t>policy_checklist4_box</t>
        </is>
      </c>
      <c r="B261" t="n">
        <v>16</v>
      </c>
      <c r="C261" t="inlineStr">
        <is>
          <t>B</t>
        </is>
      </c>
      <c r="D261" t="n">
        <v>0</v>
      </c>
      <c r="E261" t="n">
        <v>120</v>
      </c>
      <c r="F261" t="n">
        <v>210</v>
      </c>
      <c r="G261" t="n">
        <v>168</v>
      </c>
      <c r="I261" t="n">
        <v>0</v>
      </c>
      <c r="J261" t="n">
        <v>1</v>
      </c>
      <c r="K261" t="n">
        <v>0</v>
      </c>
      <c r="L261" t="n">
        <v>0</v>
      </c>
      <c r="M261" t="inlineStr">
        <is>
          <t>d0d8dd</t>
        </is>
      </c>
      <c r="N261" t="inlineStr">
        <is>
          <t>d0d8dd</t>
        </is>
      </c>
      <c r="O261" t="inlineStr">
        <is>
          <t>L</t>
        </is>
      </c>
      <c r="Q261" t="n">
        <v>1</v>
      </c>
      <c r="R261" t="b">
        <v>0</v>
      </c>
      <c r="S261" t="inlineStr">
        <is>
          <t xml:space="preserve"> </t>
        </is>
      </c>
      <c r="T261" t="n">
        <v>0</v>
      </c>
    </row>
    <row r="262">
      <c r="A262" t="inlineStr">
        <is>
          <t>policy_checklist4_title</t>
        </is>
      </c>
      <c r="B262" t="n">
        <v>-999</v>
      </c>
      <c r="C262" t="inlineStr">
        <is>
          <t>T</t>
        </is>
      </c>
      <c r="D262" t="n">
        <v>14</v>
      </c>
      <c r="E262" t="n">
        <v>125</v>
      </c>
      <c r="F262" t="n">
        <v>196</v>
      </c>
      <c r="G262" t="n">
        <v>128</v>
      </c>
      <c r="H262" t="inlineStr">
        <is>
          <t>custom</t>
        </is>
      </c>
      <c r="I262" t="n">
        <v>12</v>
      </c>
      <c r="J262" t="n">
        <v>1</v>
      </c>
      <c r="K262" t="n">
        <v>0</v>
      </c>
      <c r="L262" t="n">
        <v>0</v>
      </c>
      <c r="N262" t="inlineStr">
        <is>
          <t>d0d8dd</t>
        </is>
      </c>
      <c r="O262" t="inlineStr">
        <is>
          <t>L</t>
        </is>
      </c>
      <c r="Q262" t="n">
        <v>3</v>
      </c>
      <c r="R262" t="b">
        <v>0</v>
      </c>
      <c r="S262" t="inlineStr">
        <is>
          <t xml:space="preserve"> </t>
        </is>
      </c>
      <c r="T262" t="n">
        <v>0</v>
      </c>
    </row>
    <row r="263">
      <c r="A263" t="inlineStr">
        <is>
          <t>policy_checklist_header1</t>
        </is>
      </c>
      <c r="B263" t="n">
        <v>16</v>
      </c>
      <c r="C263" t="inlineStr">
        <is>
          <t>T</t>
        </is>
      </c>
      <c r="D263" t="n">
        <v>113</v>
      </c>
      <c r="E263" t="n">
        <v>122</v>
      </c>
      <c r="F263" t="n">
        <v>140</v>
      </c>
      <c r="G263" t="n">
        <v>127</v>
      </c>
      <c r="H263" t="inlineStr">
        <is>
          <t>custom</t>
        </is>
      </c>
      <c r="I263" t="n">
        <v>10</v>
      </c>
      <c r="J263" t="n">
        <v>1</v>
      </c>
      <c r="K263" t="n">
        <v>0</v>
      </c>
      <c r="L263" t="n">
        <v>0</v>
      </c>
      <c r="N263" t="inlineStr">
        <is>
          <t>d0d8dd</t>
        </is>
      </c>
      <c r="O263" t="inlineStr">
        <is>
          <t>C</t>
        </is>
      </c>
      <c r="Q263" t="n">
        <v>3</v>
      </c>
      <c r="R263" t="b">
        <v>1</v>
      </c>
      <c r="S263" t="inlineStr">
        <is>
          <t xml:space="preserve"> </t>
        </is>
      </c>
      <c r="T263" t="n">
        <v>0</v>
      </c>
    </row>
    <row r="264">
      <c r="A264" t="inlineStr">
        <is>
          <t>policy_checklist_header2</t>
        </is>
      </c>
      <c r="B264" t="n">
        <v>16</v>
      </c>
      <c r="C264" t="inlineStr">
        <is>
          <t>T</t>
        </is>
      </c>
      <c r="D264" t="n">
        <v>140</v>
      </c>
      <c r="E264" t="n">
        <v>122</v>
      </c>
      <c r="F264" t="n">
        <v>169</v>
      </c>
      <c r="G264" t="n">
        <v>127</v>
      </c>
      <c r="H264" t="inlineStr">
        <is>
          <t>custom</t>
        </is>
      </c>
      <c r="I264" t="n">
        <v>10</v>
      </c>
      <c r="J264" t="n">
        <v>1</v>
      </c>
      <c r="K264" t="n">
        <v>0</v>
      </c>
      <c r="L264" t="n">
        <v>0</v>
      </c>
      <c r="N264" t="inlineStr">
        <is>
          <t>d0d8dd</t>
        </is>
      </c>
      <c r="O264" t="inlineStr">
        <is>
          <t>C</t>
        </is>
      </c>
      <c r="Q264" t="n">
        <v>3</v>
      </c>
      <c r="R264" t="b">
        <v>1</v>
      </c>
      <c r="S264" t="inlineStr">
        <is>
          <t xml:space="preserve"> </t>
        </is>
      </c>
      <c r="T264" t="n">
        <v>0</v>
      </c>
    </row>
    <row r="265">
      <c r="A265" t="inlineStr">
        <is>
          <t>policy_checklist_header3</t>
        </is>
      </c>
      <c r="B265" t="n">
        <v>16</v>
      </c>
      <c r="C265" t="inlineStr">
        <is>
          <t>T</t>
        </is>
      </c>
      <c r="D265" t="n">
        <v>168</v>
      </c>
      <c r="E265" t="n">
        <v>122</v>
      </c>
      <c r="F265" t="n">
        <v>194</v>
      </c>
      <c r="G265" t="n">
        <v>127</v>
      </c>
      <c r="H265" t="inlineStr">
        <is>
          <t>custom</t>
        </is>
      </c>
      <c r="I265" t="n">
        <v>10</v>
      </c>
      <c r="J265" t="n">
        <v>1</v>
      </c>
      <c r="K265" t="n">
        <v>0</v>
      </c>
      <c r="L265" t="n">
        <v>0</v>
      </c>
      <c r="N265" t="inlineStr">
        <is>
          <t>d0d8dd</t>
        </is>
      </c>
      <c r="O265" t="inlineStr">
        <is>
          <t>C</t>
        </is>
      </c>
      <c r="Q265" t="n">
        <v>3</v>
      </c>
      <c r="R265" t="b">
        <v>1</v>
      </c>
      <c r="S265" t="inlineStr">
        <is>
          <t xml:space="preserve"> </t>
        </is>
      </c>
      <c r="T265" t="n">
        <v>0</v>
      </c>
    </row>
    <row r="266">
      <c r="A266" t="inlineStr">
        <is>
          <t>table_vline1</t>
        </is>
      </c>
      <c r="B266" t="n">
        <v>16</v>
      </c>
      <c r="C266" t="inlineStr">
        <is>
          <t>L</t>
        </is>
      </c>
      <c r="D266" t="n">
        <v>114</v>
      </c>
      <c r="E266" t="n">
        <v>120</v>
      </c>
      <c r="F266" t="n">
        <v>114</v>
      </c>
      <c r="G266" t="n">
        <v>168</v>
      </c>
      <c r="I266" t="n">
        <v>0.5</v>
      </c>
      <c r="J266" t="n">
        <v>0</v>
      </c>
      <c r="K266" t="n">
        <v>0</v>
      </c>
      <c r="L266" t="n">
        <v>0</v>
      </c>
      <c r="M266" t="inlineStr">
        <is>
          <t>FFFFFF</t>
        </is>
      </c>
      <c r="N266" t="inlineStr">
        <is>
          <t>d0d8dd</t>
        </is>
      </c>
      <c r="O266" t="inlineStr">
        <is>
          <t>L</t>
        </is>
      </c>
      <c r="Q266" t="n">
        <v>4</v>
      </c>
      <c r="R266" t="b">
        <v>0</v>
      </c>
      <c r="S266" t="inlineStr">
        <is>
          <t xml:space="preserve"> </t>
        </is>
      </c>
      <c r="T266" t="n">
        <v>0</v>
      </c>
    </row>
    <row r="267">
      <c r="A267" t="inlineStr">
        <is>
          <t>table_vline2</t>
        </is>
      </c>
      <c r="B267" t="n">
        <v>16</v>
      </c>
      <c r="C267" t="inlineStr">
        <is>
          <t>L</t>
        </is>
      </c>
      <c r="D267" t="n">
        <v>141</v>
      </c>
      <c r="E267" t="n">
        <v>120</v>
      </c>
      <c r="F267" t="n">
        <v>141</v>
      </c>
      <c r="G267" t="n">
        <v>168</v>
      </c>
      <c r="I267" t="n">
        <v>0.5</v>
      </c>
      <c r="J267" t="n">
        <v>0</v>
      </c>
      <c r="K267" t="n">
        <v>0</v>
      </c>
      <c r="L267" t="n">
        <v>0</v>
      </c>
      <c r="M267" t="inlineStr">
        <is>
          <t>FFFFFF</t>
        </is>
      </c>
      <c r="N267" t="inlineStr">
        <is>
          <t>d0d8dd</t>
        </is>
      </c>
      <c r="O267" t="inlineStr">
        <is>
          <t>L</t>
        </is>
      </c>
      <c r="Q267" t="n">
        <v>4</v>
      </c>
      <c r="R267" t="b">
        <v>0</v>
      </c>
      <c r="S267" t="inlineStr">
        <is>
          <t xml:space="preserve"> </t>
        </is>
      </c>
      <c r="T267" t="n">
        <v>0</v>
      </c>
    </row>
    <row r="268">
      <c r="A268" t="inlineStr">
        <is>
          <t>table_vline3</t>
        </is>
      </c>
      <c r="B268" t="n">
        <v>16</v>
      </c>
      <c r="C268" t="inlineStr">
        <is>
          <t>L</t>
        </is>
      </c>
      <c r="D268" t="n">
        <v>168</v>
      </c>
      <c r="E268" t="n">
        <v>120</v>
      </c>
      <c r="F268" t="n">
        <v>168</v>
      </c>
      <c r="G268" t="n">
        <v>168</v>
      </c>
      <c r="I268" t="n">
        <v>0.5</v>
      </c>
      <c r="J268" t="n">
        <v>0</v>
      </c>
      <c r="K268" t="n">
        <v>0</v>
      </c>
      <c r="L268" t="n">
        <v>0</v>
      </c>
      <c r="M268" t="inlineStr">
        <is>
          <t>FFFFFF</t>
        </is>
      </c>
      <c r="N268" t="inlineStr">
        <is>
          <t>d0d8dd</t>
        </is>
      </c>
      <c r="O268" t="inlineStr">
        <is>
          <t>L</t>
        </is>
      </c>
      <c r="Q268" t="n">
        <v>4</v>
      </c>
      <c r="R268" t="b">
        <v>0</v>
      </c>
      <c r="S268" t="inlineStr">
        <is>
          <t xml:space="preserve"> </t>
        </is>
      </c>
      <c r="T268" t="n">
        <v>0</v>
      </c>
    </row>
    <row r="269">
      <c r="A269" t="inlineStr">
        <is>
          <t>table_hline_mid</t>
        </is>
      </c>
      <c r="B269" t="n">
        <v>16</v>
      </c>
      <c r="C269" t="inlineStr">
        <is>
          <t>L</t>
        </is>
      </c>
      <c r="D269" t="n">
        <v>14</v>
      </c>
      <c r="E269" t="n">
        <v>147</v>
      </c>
      <c r="F269" t="n">
        <v>196</v>
      </c>
      <c r="G269" t="n">
        <v>147</v>
      </c>
      <c r="I269" t="n">
        <v>0.5</v>
      </c>
      <c r="J269" t="n">
        <v>0</v>
      </c>
      <c r="K269" t="n">
        <v>0</v>
      </c>
      <c r="L269" t="n">
        <v>0</v>
      </c>
      <c r="M269" t="inlineStr">
        <is>
          <t>FFFFFF</t>
        </is>
      </c>
      <c r="N269" t="inlineStr">
        <is>
          <t>d0d8dd</t>
        </is>
      </c>
      <c r="O269" t="inlineStr">
        <is>
          <t>L</t>
        </is>
      </c>
      <c r="Q269" t="n">
        <v>4</v>
      </c>
      <c r="R269" t="b">
        <v>0</v>
      </c>
      <c r="S269" t="inlineStr">
        <is>
          <t xml:space="preserve"> </t>
        </is>
      </c>
      <c r="T269" t="n">
        <v>0</v>
      </c>
    </row>
    <row r="270">
      <c r="A270" t="inlineStr">
        <is>
          <t>Policy key</t>
        </is>
      </c>
      <c r="B270" t="n">
        <v>16</v>
      </c>
      <c r="C270" t="inlineStr">
        <is>
          <t>T</t>
        </is>
      </c>
      <c r="D270" t="n">
        <v>14</v>
      </c>
      <c r="E270" t="n">
        <v>170</v>
      </c>
      <c r="F270" t="n">
        <v>196</v>
      </c>
      <c r="G270" t="n">
        <v>174</v>
      </c>
      <c r="H270" t="inlineStr">
        <is>
          <t>custom</t>
        </is>
      </c>
      <c r="I270" t="n">
        <v>10</v>
      </c>
      <c r="J270" t="n">
        <v>0</v>
      </c>
      <c r="K270" t="n">
        <v>0</v>
      </c>
      <c r="L270" t="n">
        <v>0</v>
      </c>
      <c r="N270" t="inlineStr">
        <is>
          <t>FFFFFF</t>
        </is>
      </c>
      <c r="O270" t="inlineStr">
        <is>
          <t>R</t>
        </is>
      </c>
      <c r="Q270" t="n">
        <v>2</v>
      </c>
      <c r="R270" t="b">
        <v>0</v>
      </c>
      <c r="S270" t="inlineStr">
        <is>
          <t xml:space="preserve"> </t>
        </is>
      </c>
      <c r="T270" t="n">
        <v>0</v>
      </c>
    </row>
    <row r="271" ht="15.75" customHeight="1">
      <c r="A271" t="inlineStr">
        <is>
          <t>policy_checklist4_text1</t>
        </is>
      </c>
      <c r="B271" t="n">
        <v>16</v>
      </c>
      <c r="C271" t="inlineStr">
        <is>
          <t>T</t>
        </is>
      </c>
      <c r="D271" t="n">
        <v>14</v>
      </c>
      <c r="E271" t="n">
        <v>149</v>
      </c>
      <c r="F271" t="n">
        <v>112</v>
      </c>
      <c r="G271" t="n">
        <v>154</v>
      </c>
      <c r="H271" t="inlineStr">
        <is>
          <t>custom</t>
        </is>
      </c>
      <c r="I271" t="n">
        <v>12</v>
      </c>
      <c r="J271" t="n">
        <v>0</v>
      </c>
      <c r="K271" t="n">
        <v>0</v>
      </c>
      <c r="L271" t="n">
        <v>0</v>
      </c>
      <c r="N271" t="inlineStr">
        <is>
          <t>d0d8dd</t>
        </is>
      </c>
      <c r="O271" t="inlineStr">
        <is>
          <t>L</t>
        </is>
      </c>
      <c r="Q271" t="n">
        <v>3</v>
      </c>
      <c r="R271" t="b">
        <v>1</v>
      </c>
      <c r="S271" t="inlineStr">
        <is>
          <t xml:space="preserve"> </t>
        </is>
      </c>
      <c r="T271" t="n">
        <v>0</v>
      </c>
    </row>
    <row r="272">
      <c r="A272" t="inlineStr">
        <is>
          <t>policy_checklist4_text1_response1</t>
        </is>
      </c>
      <c r="B272" t="n">
        <v>16</v>
      </c>
      <c r="C272" t="inlineStr">
        <is>
          <t>T</t>
        </is>
      </c>
      <c r="D272" t="n">
        <v>113</v>
      </c>
      <c r="E272" t="n">
        <v>150</v>
      </c>
      <c r="F272" t="n">
        <v>140</v>
      </c>
      <c r="G272" t="n">
        <v>153</v>
      </c>
      <c r="H272" t="inlineStr">
        <is>
          <t>dejavu</t>
        </is>
      </c>
      <c r="I272" t="n">
        <v>16</v>
      </c>
      <c r="J272" t="n">
        <v>1</v>
      </c>
      <c r="K272" t="n">
        <v>0</v>
      </c>
      <c r="L272" t="n">
        <v>0</v>
      </c>
      <c r="N272" t="inlineStr">
        <is>
          <t>d0d8dd</t>
        </is>
      </c>
      <c r="O272" t="inlineStr">
        <is>
          <t>C</t>
        </is>
      </c>
      <c r="Q272" t="n">
        <v>2</v>
      </c>
      <c r="R272" t="b">
        <v>0</v>
      </c>
      <c r="S272" t="inlineStr">
        <is>
          <t xml:space="preserve"> </t>
        </is>
      </c>
      <c r="T272" t="n">
        <v>0</v>
      </c>
    </row>
    <row r="273">
      <c r="A273" t="inlineStr">
        <is>
          <t>policy_checklist4_text1_response2</t>
        </is>
      </c>
      <c r="B273" t="n">
        <v>16</v>
      </c>
      <c r="C273" t="inlineStr">
        <is>
          <t>T</t>
        </is>
      </c>
      <c r="D273" t="n">
        <v>140</v>
      </c>
      <c r="E273" t="n">
        <v>150</v>
      </c>
      <c r="F273" t="n">
        <v>169</v>
      </c>
      <c r="G273" t="n">
        <v>153</v>
      </c>
      <c r="H273" t="inlineStr">
        <is>
          <t>dejavu</t>
        </is>
      </c>
      <c r="I273" t="n">
        <v>16</v>
      </c>
      <c r="J273" t="n">
        <v>1</v>
      </c>
      <c r="K273" t="n">
        <v>0</v>
      </c>
      <c r="L273" t="n">
        <v>0</v>
      </c>
      <c r="N273" t="inlineStr">
        <is>
          <t>d0d8dd</t>
        </is>
      </c>
      <c r="O273" t="inlineStr">
        <is>
          <t>C</t>
        </is>
      </c>
      <c r="Q273" t="n">
        <v>2</v>
      </c>
      <c r="R273" t="b">
        <v>0</v>
      </c>
      <c r="S273" t="inlineStr">
        <is>
          <t xml:space="preserve"> </t>
        </is>
      </c>
      <c r="T273" t="n">
        <v>0</v>
      </c>
    </row>
    <row r="274">
      <c r="A274" t="inlineStr">
        <is>
          <t>policy_checklist4_text1_response3</t>
        </is>
      </c>
      <c r="B274" t="n">
        <v>16</v>
      </c>
      <c r="C274" t="inlineStr">
        <is>
          <t>T</t>
        </is>
      </c>
      <c r="D274" t="n">
        <v>168</v>
      </c>
      <c r="E274" t="n">
        <v>150</v>
      </c>
      <c r="F274" t="n">
        <v>194</v>
      </c>
      <c r="G274" t="n">
        <v>153</v>
      </c>
      <c r="H274" t="inlineStr">
        <is>
          <t>dejavu</t>
        </is>
      </c>
      <c r="I274" t="n">
        <v>16</v>
      </c>
      <c r="J274" t="n">
        <v>1</v>
      </c>
      <c r="K274" t="n">
        <v>0</v>
      </c>
      <c r="L274" t="n">
        <v>0</v>
      </c>
      <c r="N274" t="inlineStr">
        <is>
          <t>d0d8dd</t>
        </is>
      </c>
      <c r="O274" t="inlineStr">
        <is>
          <t>C</t>
        </is>
      </c>
      <c r="Q274" t="n">
        <v>2</v>
      </c>
      <c r="R274" t="b">
        <v>0</v>
      </c>
      <c r="S274" t="inlineStr">
        <is>
          <t xml:space="preserve"> </t>
        </is>
      </c>
      <c r="T274" t="n">
        <v>0</v>
      </c>
    </row>
    <row r="275">
      <c r="A275" t="inlineStr">
        <is>
          <t>pct_access_400m_public_open_space_large_score</t>
        </is>
      </c>
      <c r="B275" t="n">
        <v>17</v>
      </c>
      <c r="C275" t="inlineStr">
        <is>
          <t>I</t>
        </is>
      </c>
      <c r="D275" t="n">
        <v>14</v>
      </c>
      <c r="E275" t="n">
        <v>60</v>
      </c>
      <c r="F275" t="n">
        <v>196</v>
      </c>
      <c r="G275" t="n">
        <v>225</v>
      </c>
      <c r="I275" t="n">
        <v>0</v>
      </c>
      <c r="J275" t="n">
        <v>0</v>
      </c>
      <c r="K275" t="n">
        <v>0</v>
      </c>
      <c r="L275" t="n">
        <v>0</v>
      </c>
      <c r="N275" t="inlineStr">
        <is>
          <t>FFFFFF</t>
        </is>
      </c>
      <c r="O275" t="inlineStr">
        <is>
          <t>L</t>
        </is>
      </c>
      <c r="Q275" t="n">
        <v>2</v>
      </c>
      <c r="R275" t="b">
        <v>0</v>
      </c>
      <c r="S275" t="inlineStr">
        <is>
          <t xml:space="preserve"> </t>
        </is>
      </c>
      <c r="T275" t="n">
        <v>0</v>
      </c>
    </row>
    <row r="276">
      <c r="A276" t="inlineStr">
        <is>
          <t>pct_access_400m_public_open_space_large_score_label</t>
        </is>
      </c>
      <c r="B276" t="n">
        <v>17</v>
      </c>
      <c r="C276" t="inlineStr">
        <is>
          <t>T</t>
        </is>
      </c>
      <c r="D276" t="n">
        <v>30</v>
      </c>
      <c r="E276" t="n">
        <v>233</v>
      </c>
      <c r="F276" t="n">
        <v>180</v>
      </c>
      <c r="G276" t="n">
        <v>241</v>
      </c>
      <c r="H276" t="inlineStr">
        <is>
          <t>custom</t>
        </is>
      </c>
      <c r="I276" t="n">
        <v>16</v>
      </c>
      <c r="J276" t="n">
        <v>0</v>
      </c>
      <c r="K276" t="n">
        <v>0</v>
      </c>
      <c r="L276" t="n">
        <v>0</v>
      </c>
      <c r="M276" t="inlineStr">
        <is>
          <t>584b9f</t>
        </is>
      </c>
      <c r="N276" t="inlineStr">
        <is>
          <t>FFFFFF</t>
        </is>
      </c>
      <c r="O276" t="inlineStr">
        <is>
          <t>C</t>
        </is>
      </c>
      <c r="Q276" t="n">
        <v>2</v>
      </c>
      <c r="R276" t="b">
        <v>1</v>
      </c>
      <c r="S276" t="inlineStr">
        <is>
          <t xml:space="preserve"> </t>
        </is>
      </c>
      <c r="T276" t="n">
        <v>0</v>
      </c>
    </row>
    <row r="277">
      <c r="A277" t="inlineStr">
        <is>
          <t>Urban air quality, and nature-based solutions</t>
        </is>
      </c>
      <c r="B277" t="n">
        <v>18</v>
      </c>
      <c r="C277" t="inlineStr">
        <is>
          <t>T</t>
        </is>
      </c>
      <c r="D277" t="n">
        <v>14</v>
      </c>
      <c r="E277" t="n">
        <v>20</v>
      </c>
      <c r="F277" t="n">
        <v>196</v>
      </c>
      <c r="G277" t="n">
        <v>25</v>
      </c>
      <c r="H277" t="inlineStr">
        <is>
          <t>custom</t>
        </is>
      </c>
      <c r="I277" t="n">
        <v>14</v>
      </c>
      <c r="J277" t="n">
        <v>1</v>
      </c>
      <c r="K277" t="n">
        <v>0</v>
      </c>
      <c r="L277" t="n">
        <v>0</v>
      </c>
      <c r="N277" t="inlineStr">
        <is>
          <t>FFFFFF</t>
        </is>
      </c>
      <c r="O277" t="inlineStr">
        <is>
          <t>L</t>
        </is>
      </c>
      <c r="Q277" t="n">
        <v>2</v>
      </c>
      <c r="R277" t="b">
        <v>1</v>
      </c>
      <c r="S277" t="inlineStr">
        <is>
          <t xml:space="preserve"> </t>
        </is>
      </c>
      <c r="T277" t="n">
        <v>0</v>
      </c>
    </row>
    <row r="278">
      <c r="A278" t="inlineStr">
        <is>
          <t>Climate resilient cities policies description</t>
        </is>
      </c>
      <c r="B278" t="n">
        <v>18</v>
      </c>
      <c r="C278" t="inlineStr">
        <is>
          <t>T</t>
        </is>
      </c>
      <c r="D278" t="n">
        <v>14</v>
      </c>
      <c r="E278" t="n">
        <v>33</v>
      </c>
      <c r="F278" t="n">
        <v>196</v>
      </c>
      <c r="G278" t="n">
        <v>38</v>
      </c>
      <c r="H278" t="inlineStr">
        <is>
          <t>custom</t>
        </is>
      </c>
      <c r="I278" t="n">
        <v>12</v>
      </c>
      <c r="J278" t="n">
        <v>0</v>
      </c>
      <c r="K278" t="n">
        <v>0</v>
      </c>
      <c r="L278" t="n">
        <v>0</v>
      </c>
      <c r="N278" t="inlineStr">
        <is>
          <t>FFFFFF</t>
        </is>
      </c>
      <c r="O278" t="inlineStr">
        <is>
          <t>L</t>
        </is>
      </c>
      <c r="Q278" t="n">
        <v>2</v>
      </c>
      <c r="R278" t="b">
        <v>1</v>
      </c>
      <c r="T278" t="n">
        <v>0</v>
      </c>
    </row>
    <row r="279">
      <c r="A279" t="inlineStr">
        <is>
          <t>policy_box_checklist5</t>
        </is>
      </c>
      <c r="B279" t="n">
        <v>18</v>
      </c>
      <c r="C279" t="inlineStr">
        <is>
          <t>B</t>
        </is>
      </c>
      <c r="D279" t="n">
        <v>0</v>
      </c>
      <c r="E279" t="n">
        <v>120</v>
      </c>
      <c r="F279" t="n">
        <v>210</v>
      </c>
      <c r="G279" t="n">
        <v>213</v>
      </c>
      <c r="I279" t="n">
        <v>0</v>
      </c>
      <c r="J279" t="n">
        <v>1</v>
      </c>
      <c r="K279" t="n">
        <v>0</v>
      </c>
      <c r="L279" t="n">
        <v>0</v>
      </c>
      <c r="M279" t="inlineStr">
        <is>
          <t>d0d8dd</t>
        </is>
      </c>
      <c r="N279" t="inlineStr">
        <is>
          <t>d0d8dd</t>
        </is>
      </c>
      <c r="O279" t="inlineStr">
        <is>
          <t>L</t>
        </is>
      </c>
      <c r="Q279" t="n">
        <v>1</v>
      </c>
      <c r="R279" t="b">
        <v>0</v>
      </c>
      <c r="S279" t="inlineStr">
        <is>
          <t xml:space="preserve"> </t>
        </is>
      </c>
      <c r="T279" t="n">
        <v>0</v>
      </c>
    </row>
    <row r="280">
      <c r="A280" t="inlineStr">
        <is>
          <t>policy_checklist5_title</t>
        </is>
      </c>
      <c r="B280" t="n">
        <v>18</v>
      </c>
      <c r="C280" t="inlineStr">
        <is>
          <t>T</t>
        </is>
      </c>
      <c r="D280" t="n">
        <v>14</v>
      </c>
      <c r="E280" t="n">
        <v>125</v>
      </c>
      <c r="F280" t="n">
        <v>196</v>
      </c>
      <c r="G280" t="n">
        <v>128</v>
      </c>
      <c r="H280" t="inlineStr">
        <is>
          <t>custom</t>
        </is>
      </c>
      <c r="I280" t="n">
        <v>12</v>
      </c>
      <c r="J280" t="n">
        <v>1</v>
      </c>
      <c r="K280" t="n">
        <v>0</v>
      </c>
      <c r="L280" t="n">
        <v>0</v>
      </c>
      <c r="N280" t="inlineStr">
        <is>
          <t>d0d8dd</t>
        </is>
      </c>
      <c r="O280" t="inlineStr">
        <is>
          <t>L</t>
        </is>
      </c>
      <c r="Q280" t="n">
        <v>3</v>
      </c>
      <c r="R280" t="b">
        <v>0</v>
      </c>
      <c r="S280" t="inlineStr">
        <is>
          <t xml:space="preserve"> </t>
        </is>
      </c>
      <c r="T280" t="n">
        <v>0</v>
      </c>
    </row>
    <row r="281">
      <c r="A281" t="inlineStr">
        <is>
          <t>policy_checklist_header1</t>
        </is>
      </c>
      <c r="B281" t="n">
        <v>18</v>
      </c>
      <c r="C281" t="inlineStr">
        <is>
          <t>T</t>
        </is>
      </c>
      <c r="D281" t="n">
        <v>113</v>
      </c>
      <c r="E281" t="n">
        <v>122</v>
      </c>
      <c r="F281" t="n">
        <v>140</v>
      </c>
      <c r="G281" t="n">
        <v>127</v>
      </c>
      <c r="H281" t="inlineStr">
        <is>
          <t>custom</t>
        </is>
      </c>
      <c r="I281" t="n">
        <v>10</v>
      </c>
      <c r="J281" t="n">
        <v>1</v>
      </c>
      <c r="K281" t="n">
        <v>0</v>
      </c>
      <c r="L281" t="n">
        <v>0</v>
      </c>
      <c r="N281" t="inlineStr">
        <is>
          <t>d0d8dd</t>
        </is>
      </c>
      <c r="O281" t="inlineStr">
        <is>
          <t>C</t>
        </is>
      </c>
      <c r="Q281" t="n">
        <v>3</v>
      </c>
      <c r="R281" t="b">
        <v>1</v>
      </c>
      <c r="S281" t="inlineStr">
        <is>
          <t xml:space="preserve"> </t>
        </is>
      </c>
      <c r="T281" t="n">
        <v>0</v>
      </c>
    </row>
    <row r="282">
      <c r="A282" t="inlineStr">
        <is>
          <t>policy_checklist_header2</t>
        </is>
      </c>
      <c r="B282" t="n">
        <v>18</v>
      </c>
      <c r="C282" t="inlineStr">
        <is>
          <t>T</t>
        </is>
      </c>
      <c r="D282" t="n">
        <v>140</v>
      </c>
      <c r="E282" t="n">
        <v>122</v>
      </c>
      <c r="F282" t="n">
        <v>169</v>
      </c>
      <c r="G282" t="n">
        <v>127</v>
      </c>
      <c r="H282" t="inlineStr">
        <is>
          <t>custom</t>
        </is>
      </c>
      <c r="I282" t="n">
        <v>10</v>
      </c>
      <c r="J282" t="n">
        <v>1</v>
      </c>
      <c r="K282" t="n">
        <v>0</v>
      </c>
      <c r="L282" t="n">
        <v>0</v>
      </c>
      <c r="N282" t="inlineStr">
        <is>
          <t>d0d8dd</t>
        </is>
      </c>
      <c r="O282" t="inlineStr">
        <is>
          <t>C</t>
        </is>
      </c>
      <c r="Q282" t="n">
        <v>3</v>
      </c>
      <c r="R282" t="b">
        <v>1</v>
      </c>
      <c r="S282" t="inlineStr">
        <is>
          <t xml:space="preserve"> </t>
        </is>
      </c>
      <c r="T282" t="n">
        <v>0</v>
      </c>
    </row>
    <row r="283">
      <c r="A283" t="inlineStr">
        <is>
          <t>policy_checklist_header3</t>
        </is>
      </c>
      <c r="B283" t="n">
        <v>18</v>
      </c>
      <c r="C283" t="inlineStr">
        <is>
          <t>T</t>
        </is>
      </c>
      <c r="D283" t="n">
        <v>168</v>
      </c>
      <c r="E283" t="n">
        <v>122</v>
      </c>
      <c r="F283" t="n">
        <v>194</v>
      </c>
      <c r="G283" t="n">
        <v>127</v>
      </c>
      <c r="H283" t="inlineStr">
        <is>
          <t>custom</t>
        </is>
      </c>
      <c r="I283" t="n">
        <v>10</v>
      </c>
      <c r="J283" t="n">
        <v>1</v>
      </c>
      <c r="K283" t="n">
        <v>0</v>
      </c>
      <c r="L283" t="n">
        <v>0</v>
      </c>
      <c r="N283" t="inlineStr">
        <is>
          <t>d0d8dd</t>
        </is>
      </c>
      <c r="O283" t="inlineStr">
        <is>
          <t>C</t>
        </is>
      </c>
      <c r="Q283" t="n">
        <v>3</v>
      </c>
      <c r="R283" t="b">
        <v>1</v>
      </c>
      <c r="S283" t="inlineStr">
        <is>
          <t xml:space="preserve"> </t>
        </is>
      </c>
      <c r="T283" t="n">
        <v>0</v>
      </c>
    </row>
    <row r="284">
      <c r="A284" t="inlineStr">
        <is>
          <t>table_vline1</t>
        </is>
      </c>
      <c r="B284" t="n">
        <v>18</v>
      </c>
      <c r="C284" t="inlineStr">
        <is>
          <t>L</t>
        </is>
      </c>
      <c r="D284" t="n">
        <v>114</v>
      </c>
      <c r="E284" t="n">
        <v>120</v>
      </c>
      <c r="F284" t="n">
        <v>114</v>
      </c>
      <c r="G284" t="n">
        <v>213</v>
      </c>
      <c r="I284" t="n">
        <v>0.5</v>
      </c>
      <c r="J284" t="n">
        <v>0</v>
      </c>
      <c r="K284" t="n">
        <v>0</v>
      </c>
      <c r="L284" t="n">
        <v>0</v>
      </c>
      <c r="M284" t="inlineStr">
        <is>
          <t>FFFFFF</t>
        </is>
      </c>
      <c r="N284" t="inlineStr">
        <is>
          <t>d0d8dd</t>
        </is>
      </c>
      <c r="O284" t="inlineStr">
        <is>
          <t>L</t>
        </is>
      </c>
      <c r="Q284" t="n">
        <v>4</v>
      </c>
      <c r="R284" t="b">
        <v>0</v>
      </c>
      <c r="S284" t="inlineStr">
        <is>
          <t xml:space="preserve"> </t>
        </is>
      </c>
      <c r="T284" t="n">
        <v>0</v>
      </c>
    </row>
    <row r="285">
      <c r="A285" t="inlineStr">
        <is>
          <t>table_vline2</t>
        </is>
      </c>
      <c r="B285" t="n">
        <v>18</v>
      </c>
      <c r="C285" t="inlineStr">
        <is>
          <t>L</t>
        </is>
      </c>
      <c r="D285" t="n">
        <v>141</v>
      </c>
      <c r="E285" t="n">
        <v>120</v>
      </c>
      <c r="F285" t="n">
        <v>141</v>
      </c>
      <c r="G285" t="n">
        <v>213</v>
      </c>
      <c r="I285" t="n">
        <v>0.5</v>
      </c>
      <c r="J285" t="n">
        <v>0</v>
      </c>
      <c r="K285" t="n">
        <v>0</v>
      </c>
      <c r="L285" t="n">
        <v>0</v>
      </c>
      <c r="M285" t="inlineStr">
        <is>
          <t>FFFFFF</t>
        </is>
      </c>
      <c r="N285" t="inlineStr">
        <is>
          <t>d0d8dd</t>
        </is>
      </c>
      <c r="O285" t="inlineStr">
        <is>
          <t>L</t>
        </is>
      </c>
      <c r="Q285" t="n">
        <v>4</v>
      </c>
      <c r="R285" t="b">
        <v>0</v>
      </c>
      <c r="S285" t="inlineStr">
        <is>
          <t xml:space="preserve"> </t>
        </is>
      </c>
      <c r="T285" t="n">
        <v>0</v>
      </c>
    </row>
    <row r="286">
      <c r="A286" t="inlineStr">
        <is>
          <t>table_vline3</t>
        </is>
      </c>
      <c r="B286" t="n">
        <v>18</v>
      </c>
      <c r="C286" t="inlineStr">
        <is>
          <t>L</t>
        </is>
      </c>
      <c r="D286" t="n">
        <v>168</v>
      </c>
      <c r="E286" t="n">
        <v>120</v>
      </c>
      <c r="F286" t="n">
        <v>168</v>
      </c>
      <c r="G286" t="n">
        <v>213</v>
      </c>
      <c r="I286" t="n">
        <v>0.5</v>
      </c>
      <c r="J286" t="n">
        <v>0</v>
      </c>
      <c r="K286" t="n">
        <v>0</v>
      </c>
      <c r="L286" t="n">
        <v>0</v>
      </c>
      <c r="M286" t="inlineStr">
        <is>
          <t>FFFFFF</t>
        </is>
      </c>
      <c r="N286" t="inlineStr">
        <is>
          <t>d0d8dd</t>
        </is>
      </c>
      <c r="O286" t="inlineStr">
        <is>
          <t>L</t>
        </is>
      </c>
      <c r="Q286" t="n">
        <v>4</v>
      </c>
      <c r="R286" t="b">
        <v>0</v>
      </c>
      <c r="S286" t="inlineStr">
        <is>
          <t xml:space="preserve"> </t>
        </is>
      </c>
      <c r="T286" t="n">
        <v>0</v>
      </c>
    </row>
    <row r="287">
      <c r="A287" t="inlineStr">
        <is>
          <t>table_hline_mid</t>
        </is>
      </c>
      <c r="B287" t="n">
        <v>18</v>
      </c>
      <c r="C287" t="inlineStr">
        <is>
          <t>L</t>
        </is>
      </c>
      <c r="D287" t="n">
        <v>14</v>
      </c>
      <c r="E287" t="n">
        <v>147</v>
      </c>
      <c r="F287" t="n">
        <v>196</v>
      </c>
      <c r="G287" t="n">
        <v>147</v>
      </c>
      <c r="I287" t="n">
        <v>0.5</v>
      </c>
      <c r="J287" t="n">
        <v>0</v>
      </c>
      <c r="K287" t="n">
        <v>0</v>
      </c>
      <c r="L287" t="n">
        <v>0</v>
      </c>
      <c r="M287" t="inlineStr">
        <is>
          <t>FFFFFF</t>
        </is>
      </c>
      <c r="N287" t="inlineStr">
        <is>
          <t>d0d8dd</t>
        </is>
      </c>
      <c r="O287" t="inlineStr">
        <is>
          <t>L</t>
        </is>
      </c>
      <c r="Q287" t="n">
        <v>4</v>
      </c>
      <c r="R287" t="b">
        <v>0</v>
      </c>
      <c r="S287" t="inlineStr">
        <is>
          <t xml:space="preserve"> </t>
        </is>
      </c>
      <c r="T287" t="n">
        <v>0</v>
      </c>
    </row>
    <row r="288">
      <c r="A288" t="inlineStr">
        <is>
          <t>Policy key</t>
        </is>
      </c>
      <c r="B288" t="n">
        <v>18</v>
      </c>
      <c r="C288" t="inlineStr">
        <is>
          <t>T</t>
        </is>
      </c>
      <c r="D288" t="n">
        <v>14</v>
      </c>
      <c r="E288" t="n">
        <v>215</v>
      </c>
      <c r="F288" t="n">
        <v>196</v>
      </c>
      <c r="G288" t="n">
        <v>219</v>
      </c>
      <c r="H288" t="inlineStr">
        <is>
          <t>custom</t>
        </is>
      </c>
      <c r="I288" t="n">
        <v>10</v>
      </c>
      <c r="J288" t="n">
        <v>0</v>
      </c>
      <c r="K288" t="n">
        <v>0</v>
      </c>
      <c r="L288" t="n">
        <v>0</v>
      </c>
      <c r="N288" t="inlineStr">
        <is>
          <t>FFFFFF</t>
        </is>
      </c>
      <c r="O288" t="inlineStr">
        <is>
          <t>R</t>
        </is>
      </c>
      <c r="Q288" t="n">
        <v>2</v>
      </c>
      <c r="R288" t="b">
        <v>0</v>
      </c>
      <c r="S288" t="inlineStr">
        <is>
          <t xml:space="preserve"> </t>
        </is>
      </c>
      <c r="T288" t="n">
        <v>0</v>
      </c>
    </row>
    <row r="289">
      <c r="A289" t="inlineStr">
        <is>
          <t>policy_checklist5_text1</t>
        </is>
      </c>
      <c r="B289" t="n">
        <v>18</v>
      </c>
      <c r="C289" t="inlineStr">
        <is>
          <t>T</t>
        </is>
      </c>
      <c r="D289" t="n">
        <v>16</v>
      </c>
      <c r="E289" t="n">
        <v>149</v>
      </c>
      <c r="F289" t="n">
        <v>112</v>
      </c>
      <c r="G289" t="n">
        <v>154</v>
      </c>
      <c r="H289" t="inlineStr">
        <is>
          <t>custom</t>
        </is>
      </c>
      <c r="I289" t="n">
        <v>12</v>
      </c>
      <c r="J289" t="n">
        <v>0</v>
      </c>
      <c r="K289" t="n">
        <v>0</v>
      </c>
      <c r="L289" t="n">
        <v>0</v>
      </c>
      <c r="N289" t="inlineStr">
        <is>
          <t>d0d8dd</t>
        </is>
      </c>
      <c r="O289" t="inlineStr">
        <is>
          <t>L</t>
        </is>
      </c>
      <c r="Q289" t="n">
        <v>3</v>
      </c>
      <c r="R289" t="b">
        <v>1</v>
      </c>
      <c r="S289" t="inlineStr">
        <is>
          <t xml:space="preserve"> </t>
        </is>
      </c>
      <c r="T289" t="n">
        <v>0</v>
      </c>
    </row>
    <row r="290">
      <c r="A290" t="inlineStr">
        <is>
          <t>policy_checklist5_text1_response1</t>
        </is>
      </c>
      <c r="B290" t="n">
        <v>18</v>
      </c>
      <c r="C290" t="inlineStr">
        <is>
          <t>T</t>
        </is>
      </c>
      <c r="D290" t="n">
        <v>113</v>
      </c>
      <c r="E290" t="n">
        <v>150</v>
      </c>
      <c r="F290" t="n">
        <v>140</v>
      </c>
      <c r="G290" t="n">
        <v>153</v>
      </c>
      <c r="H290" t="inlineStr">
        <is>
          <t>dejavu</t>
        </is>
      </c>
      <c r="I290" t="n">
        <v>16</v>
      </c>
      <c r="J290" t="n">
        <v>1</v>
      </c>
      <c r="K290" t="n">
        <v>0</v>
      </c>
      <c r="L290" t="n">
        <v>0</v>
      </c>
      <c r="N290" t="inlineStr">
        <is>
          <t>d0d8dd</t>
        </is>
      </c>
      <c r="O290" t="inlineStr">
        <is>
          <t>C</t>
        </is>
      </c>
      <c r="Q290" t="n">
        <v>2</v>
      </c>
      <c r="R290" t="b">
        <v>0</v>
      </c>
      <c r="S290" t="inlineStr">
        <is>
          <t xml:space="preserve"> </t>
        </is>
      </c>
      <c r="T290" t="n">
        <v>0</v>
      </c>
    </row>
    <row r="291">
      <c r="A291" t="inlineStr">
        <is>
          <t>policy_checklist5_text1_response2</t>
        </is>
      </c>
      <c r="B291" t="n">
        <v>18</v>
      </c>
      <c r="C291" t="inlineStr">
        <is>
          <t>T</t>
        </is>
      </c>
      <c r="D291" t="n">
        <v>140</v>
      </c>
      <c r="E291" t="n">
        <v>150</v>
      </c>
      <c r="F291" t="n">
        <v>169</v>
      </c>
      <c r="G291" t="n">
        <v>153</v>
      </c>
      <c r="H291" t="inlineStr">
        <is>
          <t>dejavu</t>
        </is>
      </c>
      <c r="I291" t="n">
        <v>16</v>
      </c>
      <c r="J291" t="n">
        <v>1</v>
      </c>
      <c r="K291" t="n">
        <v>0</v>
      </c>
      <c r="L291" t="n">
        <v>0</v>
      </c>
      <c r="N291" t="inlineStr">
        <is>
          <t>d0d8dd</t>
        </is>
      </c>
      <c r="O291" t="inlineStr">
        <is>
          <t>C</t>
        </is>
      </c>
      <c r="Q291" t="n">
        <v>2</v>
      </c>
      <c r="R291" t="b">
        <v>0</v>
      </c>
      <c r="S291" t="inlineStr">
        <is>
          <t xml:space="preserve"> </t>
        </is>
      </c>
      <c r="T291" t="n">
        <v>0</v>
      </c>
    </row>
    <row r="292">
      <c r="A292" t="inlineStr">
        <is>
          <t>policy_checklist5_text1_response3</t>
        </is>
      </c>
      <c r="B292" t="n">
        <v>18</v>
      </c>
      <c r="C292" t="inlineStr">
        <is>
          <t>T</t>
        </is>
      </c>
      <c r="D292" t="n">
        <v>168</v>
      </c>
      <c r="E292" t="n">
        <v>150</v>
      </c>
      <c r="F292" t="n">
        <v>194</v>
      </c>
      <c r="G292" t="n">
        <v>153</v>
      </c>
      <c r="H292" t="inlineStr">
        <is>
          <t>dejavu</t>
        </is>
      </c>
      <c r="I292" t="n">
        <v>16</v>
      </c>
      <c r="J292" t="n">
        <v>1</v>
      </c>
      <c r="K292" t="n">
        <v>0</v>
      </c>
      <c r="L292" t="n">
        <v>0</v>
      </c>
      <c r="N292" t="inlineStr">
        <is>
          <t>d0d8dd</t>
        </is>
      </c>
      <c r="O292" t="inlineStr">
        <is>
          <t>C</t>
        </is>
      </c>
      <c r="Q292" t="n">
        <v>2</v>
      </c>
      <c r="R292" t="b">
        <v>0</v>
      </c>
      <c r="S292" t="inlineStr">
        <is>
          <t xml:space="preserve"> </t>
        </is>
      </c>
      <c r="T292" t="n">
        <v>0</v>
      </c>
    </row>
    <row r="293">
      <c r="A293" t="inlineStr">
        <is>
          <t>policy_checklist5_text2</t>
        </is>
      </c>
      <c r="B293" t="n">
        <v>18</v>
      </c>
      <c r="C293" t="inlineStr">
        <is>
          <t>T</t>
        </is>
      </c>
      <c r="D293" t="n">
        <v>16</v>
      </c>
      <c r="E293" t="n">
        <v>164</v>
      </c>
      <c r="F293" t="n">
        <v>112</v>
      </c>
      <c r="G293" t="n">
        <v>169</v>
      </c>
      <c r="H293" t="inlineStr">
        <is>
          <t>custom</t>
        </is>
      </c>
      <c r="I293" t="n">
        <v>12</v>
      </c>
      <c r="J293" t="n">
        <v>0</v>
      </c>
      <c r="K293" t="n">
        <v>0</v>
      </c>
      <c r="L293" t="n">
        <v>0</v>
      </c>
      <c r="N293" t="inlineStr">
        <is>
          <t>d0d8dd</t>
        </is>
      </c>
      <c r="O293" t="inlineStr">
        <is>
          <t>L</t>
        </is>
      </c>
      <c r="Q293" t="n">
        <v>3</v>
      </c>
      <c r="R293" t="b">
        <v>1</v>
      </c>
      <c r="S293" t="inlineStr">
        <is>
          <t xml:space="preserve"> </t>
        </is>
      </c>
      <c r="T293" t="n">
        <v>0</v>
      </c>
    </row>
    <row r="294">
      <c r="A294" t="inlineStr">
        <is>
          <t>policy_checklist5_text2_response1</t>
        </is>
      </c>
      <c r="B294" t="n">
        <v>18</v>
      </c>
      <c r="C294" t="inlineStr">
        <is>
          <t>T</t>
        </is>
      </c>
      <c r="D294" t="n">
        <v>113</v>
      </c>
      <c r="E294" t="n">
        <v>165</v>
      </c>
      <c r="F294" t="n">
        <v>140</v>
      </c>
      <c r="G294" t="n">
        <v>168</v>
      </c>
      <c r="H294" t="inlineStr">
        <is>
          <t>dejavu</t>
        </is>
      </c>
      <c r="I294" t="n">
        <v>16</v>
      </c>
      <c r="J294" t="n">
        <v>1</v>
      </c>
      <c r="K294" t="n">
        <v>0</v>
      </c>
      <c r="L294" t="n">
        <v>0</v>
      </c>
      <c r="N294" t="inlineStr">
        <is>
          <t>d0d8dd</t>
        </is>
      </c>
      <c r="O294" t="inlineStr">
        <is>
          <t>C</t>
        </is>
      </c>
      <c r="Q294" t="n">
        <v>2</v>
      </c>
      <c r="R294" t="b">
        <v>0</v>
      </c>
      <c r="S294" t="inlineStr">
        <is>
          <t xml:space="preserve"> </t>
        </is>
      </c>
      <c r="T294" t="n">
        <v>0</v>
      </c>
    </row>
    <row r="295">
      <c r="A295" t="inlineStr">
        <is>
          <t>policy_checklist5_text2_response2</t>
        </is>
      </c>
      <c r="B295" t="n">
        <v>18</v>
      </c>
      <c r="C295" t="inlineStr">
        <is>
          <t>T</t>
        </is>
      </c>
      <c r="D295" t="n">
        <v>140</v>
      </c>
      <c r="E295" t="n">
        <v>165</v>
      </c>
      <c r="F295" t="n">
        <v>169</v>
      </c>
      <c r="G295" t="n">
        <v>168</v>
      </c>
      <c r="H295" t="inlineStr">
        <is>
          <t>dejavu</t>
        </is>
      </c>
      <c r="I295" t="n">
        <v>16</v>
      </c>
      <c r="J295" t="n">
        <v>1</v>
      </c>
      <c r="K295" t="n">
        <v>0</v>
      </c>
      <c r="L295" t="n">
        <v>0</v>
      </c>
      <c r="N295" t="inlineStr">
        <is>
          <t>d0d8dd</t>
        </is>
      </c>
      <c r="O295" t="inlineStr">
        <is>
          <t>C</t>
        </is>
      </c>
      <c r="Q295" t="n">
        <v>2</v>
      </c>
      <c r="R295" t="b">
        <v>0</v>
      </c>
      <c r="S295" t="inlineStr">
        <is>
          <t xml:space="preserve"> </t>
        </is>
      </c>
      <c r="T295" t="n">
        <v>0</v>
      </c>
    </row>
    <row r="296">
      <c r="A296" t="inlineStr">
        <is>
          <t>policy_checklist5_text2_response3</t>
        </is>
      </c>
      <c r="B296" t="n">
        <v>18</v>
      </c>
      <c r="C296" t="inlineStr">
        <is>
          <t>T</t>
        </is>
      </c>
      <c r="D296" t="n">
        <v>168</v>
      </c>
      <c r="E296" t="n">
        <v>165</v>
      </c>
      <c r="F296" t="n">
        <v>194</v>
      </c>
      <c r="G296" t="n">
        <v>168</v>
      </c>
      <c r="H296" t="inlineStr">
        <is>
          <t>dejavu</t>
        </is>
      </c>
      <c r="I296" t="n">
        <v>16</v>
      </c>
      <c r="J296" t="n">
        <v>1</v>
      </c>
      <c r="K296" t="n">
        <v>0</v>
      </c>
      <c r="L296" t="n">
        <v>0</v>
      </c>
      <c r="N296" t="inlineStr">
        <is>
          <t>d0d8dd</t>
        </is>
      </c>
      <c r="O296" t="inlineStr">
        <is>
          <t>C</t>
        </is>
      </c>
      <c r="Q296" t="n">
        <v>2</v>
      </c>
      <c r="R296" t="b">
        <v>0</v>
      </c>
      <c r="S296" t="inlineStr">
        <is>
          <t xml:space="preserve"> </t>
        </is>
      </c>
      <c r="T296" t="n">
        <v>0</v>
      </c>
    </row>
    <row r="297">
      <c r="A297" t="inlineStr">
        <is>
          <t>policy_checklist6_text1</t>
        </is>
      </c>
      <c r="B297" t="n">
        <v>18</v>
      </c>
      <c r="C297" t="inlineStr">
        <is>
          <t>T</t>
        </is>
      </c>
      <c r="D297" t="n">
        <v>16</v>
      </c>
      <c r="E297" t="n">
        <v>179</v>
      </c>
      <c r="F297" t="n">
        <v>112</v>
      </c>
      <c r="G297" t="n">
        <v>184</v>
      </c>
      <c r="H297" t="inlineStr">
        <is>
          <t>custom</t>
        </is>
      </c>
      <c r="I297" t="n">
        <v>12</v>
      </c>
      <c r="J297" t="n">
        <v>0</v>
      </c>
      <c r="K297" t="n">
        <v>0</v>
      </c>
      <c r="L297" t="n">
        <v>0</v>
      </c>
      <c r="N297" t="inlineStr">
        <is>
          <t>d0d8dd</t>
        </is>
      </c>
      <c r="O297" t="inlineStr">
        <is>
          <t>L</t>
        </is>
      </c>
      <c r="Q297" t="n">
        <v>3</v>
      </c>
      <c r="R297" t="b">
        <v>1</v>
      </c>
      <c r="S297" t="inlineStr">
        <is>
          <t xml:space="preserve"> </t>
        </is>
      </c>
      <c r="T297" t="n">
        <v>0</v>
      </c>
    </row>
    <row r="298">
      <c r="A298" t="inlineStr">
        <is>
          <t>policy_checklist6_text1_response1</t>
        </is>
      </c>
      <c r="B298" t="n">
        <v>18</v>
      </c>
      <c r="C298" t="inlineStr">
        <is>
          <t>T</t>
        </is>
      </c>
      <c r="D298" t="n">
        <v>113</v>
      </c>
      <c r="E298" t="n">
        <v>180</v>
      </c>
      <c r="F298" t="n">
        <v>140</v>
      </c>
      <c r="G298" t="n">
        <v>183</v>
      </c>
      <c r="H298" t="inlineStr">
        <is>
          <t>dejavu</t>
        </is>
      </c>
      <c r="I298" t="n">
        <v>16</v>
      </c>
      <c r="J298" t="n">
        <v>1</v>
      </c>
      <c r="K298" t="n">
        <v>0</v>
      </c>
      <c r="L298" t="n">
        <v>0</v>
      </c>
      <c r="N298" t="inlineStr">
        <is>
          <t>d0d8dd</t>
        </is>
      </c>
      <c r="O298" t="inlineStr">
        <is>
          <t>C</t>
        </is>
      </c>
      <c r="Q298" t="n">
        <v>2</v>
      </c>
      <c r="R298" t="b">
        <v>0</v>
      </c>
      <c r="S298" t="inlineStr">
        <is>
          <t xml:space="preserve"> </t>
        </is>
      </c>
      <c r="T298" t="n">
        <v>0</v>
      </c>
    </row>
    <row r="299">
      <c r="A299" t="inlineStr">
        <is>
          <t>policy_checklist6_text1_response2</t>
        </is>
      </c>
      <c r="B299" t="n">
        <v>18</v>
      </c>
      <c r="C299" t="inlineStr">
        <is>
          <t>T</t>
        </is>
      </c>
      <c r="D299" t="n">
        <v>140</v>
      </c>
      <c r="E299" t="n">
        <v>180</v>
      </c>
      <c r="F299" t="n">
        <v>169</v>
      </c>
      <c r="G299" t="n">
        <v>183</v>
      </c>
      <c r="H299" t="inlineStr">
        <is>
          <t>dejavu</t>
        </is>
      </c>
      <c r="I299" t="n">
        <v>16</v>
      </c>
      <c r="J299" t="n">
        <v>1</v>
      </c>
      <c r="K299" t="n">
        <v>0</v>
      </c>
      <c r="L299" t="n">
        <v>0</v>
      </c>
      <c r="N299" t="inlineStr">
        <is>
          <t>d0d8dd</t>
        </is>
      </c>
      <c r="O299" t="inlineStr">
        <is>
          <t>C</t>
        </is>
      </c>
      <c r="Q299" t="n">
        <v>2</v>
      </c>
      <c r="R299" t="b">
        <v>0</v>
      </c>
      <c r="S299" t="inlineStr">
        <is>
          <t xml:space="preserve"> </t>
        </is>
      </c>
      <c r="T299" t="n">
        <v>0</v>
      </c>
    </row>
    <row r="300">
      <c r="A300" t="inlineStr">
        <is>
          <t>policy_checklist6_text1_response3</t>
        </is>
      </c>
      <c r="B300" t="n">
        <v>18</v>
      </c>
      <c r="C300" t="inlineStr">
        <is>
          <t>T</t>
        </is>
      </c>
      <c r="D300" t="n">
        <v>168</v>
      </c>
      <c r="E300" t="n">
        <v>180</v>
      </c>
      <c r="F300" t="n">
        <v>194</v>
      </c>
      <c r="G300" t="n">
        <v>183</v>
      </c>
      <c r="H300" t="inlineStr">
        <is>
          <t>dejavu</t>
        </is>
      </c>
      <c r="I300" t="n">
        <v>16</v>
      </c>
      <c r="J300" t="n">
        <v>1</v>
      </c>
      <c r="K300" t="n">
        <v>0</v>
      </c>
      <c r="L300" t="n">
        <v>0</v>
      </c>
      <c r="N300" t="inlineStr">
        <is>
          <t>d0d8dd</t>
        </is>
      </c>
      <c r="O300" t="inlineStr">
        <is>
          <t>C</t>
        </is>
      </c>
      <c r="Q300" t="n">
        <v>2</v>
      </c>
      <c r="R300" t="b">
        <v>0</v>
      </c>
      <c r="S300" t="inlineStr">
        <is>
          <t xml:space="preserve"> </t>
        </is>
      </c>
      <c r="T300" t="n">
        <v>0</v>
      </c>
    </row>
    <row r="301">
      <c r="A301" t="inlineStr">
        <is>
          <t>policy_checklist6_text2</t>
        </is>
      </c>
      <c r="B301" t="n">
        <v>18</v>
      </c>
      <c r="C301" t="inlineStr">
        <is>
          <t>T</t>
        </is>
      </c>
      <c r="D301" t="n">
        <v>16</v>
      </c>
      <c r="E301" t="n">
        <v>194</v>
      </c>
      <c r="F301" t="n">
        <v>112</v>
      </c>
      <c r="G301" t="n">
        <v>199</v>
      </c>
      <c r="H301" t="inlineStr">
        <is>
          <t>custom</t>
        </is>
      </c>
      <c r="I301" t="n">
        <v>12</v>
      </c>
      <c r="J301" t="n">
        <v>0</v>
      </c>
      <c r="K301" t="n">
        <v>0</v>
      </c>
      <c r="L301" t="n">
        <v>0</v>
      </c>
      <c r="N301" t="inlineStr">
        <is>
          <t>d0d8dd</t>
        </is>
      </c>
      <c r="O301" t="inlineStr">
        <is>
          <t>L</t>
        </is>
      </c>
      <c r="Q301" t="n">
        <v>3</v>
      </c>
      <c r="R301" t="b">
        <v>1</v>
      </c>
      <c r="S301" t="inlineStr">
        <is>
          <t xml:space="preserve"> </t>
        </is>
      </c>
      <c r="T301" t="n">
        <v>0</v>
      </c>
    </row>
    <row r="302">
      <c r="A302" t="inlineStr">
        <is>
          <t>policy_checklist6_text2_response1</t>
        </is>
      </c>
      <c r="B302" t="n">
        <v>18</v>
      </c>
      <c r="C302" t="inlineStr">
        <is>
          <t>T</t>
        </is>
      </c>
      <c r="D302" t="n">
        <v>113</v>
      </c>
      <c r="E302" t="n">
        <v>195</v>
      </c>
      <c r="F302" t="n">
        <v>140</v>
      </c>
      <c r="G302" t="n">
        <v>198</v>
      </c>
      <c r="H302" t="inlineStr">
        <is>
          <t>dejavu</t>
        </is>
      </c>
      <c r="I302" t="n">
        <v>16</v>
      </c>
      <c r="J302" t="n">
        <v>1</v>
      </c>
      <c r="K302" t="n">
        <v>0</v>
      </c>
      <c r="L302" t="n">
        <v>0</v>
      </c>
      <c r="N302" t="inlineStr">
        <is>
          <t>d0d8dd</t>
        </is>
      </c>
      <c r="O302" t="inlineStr">
        <is>
          <t>C</t>
        </is>
      </c>
      <c r="Q302" t="n">
        <v>2</v>
      </c>
      <c r="R302" t="b">
        <v>0</v>
      </c>
      <c r="S302" t="inlineStr">
        <is>
          <t xml:space="preserve"> </t>
        </is>
      </c>
      <c r="T302" t="n">
        <v>0</v>
      </c>
    </row>
    <row r="303">
      <c r="A303" t="inlineStr">
        <is>
          <t>policy_checklist6_text2_response2</t>
        </is>
      </c>
      <c r="B303" t="n">
        <v>18</v>
      </c>
      <c r="C303" t="inlineStr">
        <is>
          <t>T</t>
        </is>
      </c>
      <c r="D303" t="n">
        <v>140</v>
      </c>
      <c r="E303" t="n">
        <v>195</v>
      </c>
      <c r="F303" t="n">
        <v>169</v>
      </c>
      <c r="G303" t="n">
        <v>198</v>
      </c>
      <c r="H303" t="inlineStr">
        <is>
          <t>dejavu</t>
        </is>
      </c>
      <c r="I303" t="n">
        <v>16</v>
      </c>
      <c r="J303" t="n">
        <v>1</v>
      </c>
      <c r="K303" t="n">
        <v>0</v>
      </c>
      <c r="L303" t="n">
        <v>0</v>
      </c>
      <c r="N303" t="inlineStr">
        <is>
          <t>d0d8dd</t>
        </is>
      </c>
      <c r="O303" t="inlineStr">
        <is>
          <t>C</t>
        </is>
      </c>
      <c r="Q303" t="n">
        <v>2</v>
      </c>
      <c r="R303" t="b">
        <v>0</v>
      </c>
      <c r="S303" t="inlineStr">
        <is>
          <t xml:space="preserve"> </t>
        </is>
      </c>
      <c r="T303" t="n">
        <v>0</v>
      </c>
    </row>
    <row r="304">
      <c r="A304" t="inlineStr">
        <is>
          <t>policy_checklist6_text2_response3</t>
        </is>
      </c>
      <c r="B304" t="n">
        <v>18</v>
      </c>
      <c r="C304" t="inlineStr">
        <is>
          <t>T</t>
        </is>
      </c>
      <c r="D304" t="n">
        <v>168</v>
      </c>
      <c r="E304" t="n">
        <v>195</v>
      </c>
      <c r="F304" t="n">
        <v>194</v>
      </c>
      <c r="G304" t="n">
        <v>198</v>
      </c>
      <c r="H304" t="inlineStr">
        <is>
          <t>dejavu</t>
        </is>
      </c>
      <c r="I304" t="n">
        <v>16</v>
      </c>
      <c r="J304" t="n">
        <v>1</v>
      </c>
      <c r="K304" t="n">
        <v>0</v>
      </c>
      <c r="L304" t="n">
        <v>0</v>
      </c>
      <c r="N304" t="inlineStr">
        <is>
          <t>d0d8dd</t>
        </is>
      </c>
      <c r="O304" t="inlineStr">
        <is>
          <t>C</t>
        </is>
      </c>
      <c r="Q304" t="n">
        <v>2</v>
      </c>
      <c r="R304" t="b">
        <v>0</v>
      </c>
      <c r="S304" t="inlineStr">
        <is>
          <t xml:space="preserve"> </t>
        </is>
      </c>
      <c r="T304" t="n">
        <v>0</v>
      </c>
    </row>
    <row r="305">
      <c r="A305" t="inlineStr">
        <is>
          <t>green_space_header</t>
        </is>
      </c>
      <c r="B305" t="n">
        <v>19</v>
      </c>
      <c r="C305" t="inlineStr">
        <is>
          <t>T</t>
        </is>
      </c>
      <c r="D305" t="n">
        <v>14</v>
      </c>
      <c r="E305" t="n">
        <v>20</v>
      </c>
      <c r="F305" t="n">
        <v>180</v>
      </c>
      <c r="G305">
        <f>E305+5</f>
        <v/>
      </c>
      <c r="H305" t="inlineStr">
        <is>
          <t>custom</t>
        </is>
      </c>
      <c r="I305" t="n">
        <v>12</v>
      </c>
      <c r="J305" t="n">
        <v>1</v>
      </c>
      <c r="K305" t="n">
        <v>0</v>
      </c>
      <c r="L305" t="n">
        <v>0</v>
      </c>
      <c r="N305" t="inlineStr">
        <is>
          <t>FFFFFF</t>
        </is>
      </c>
      <c r="O305" t="inlineStr">
        <is>
          <t>L</t>
        </is>
      </c>
      <c r="Q305" t="n">
        <v>3</v>
      </c>
      <c r="R305" t="b">
        <v>0</v>
      </c>
      <c r="S305" t="inlineStr">
        <is>
          <t xml:space="preserve"> </t>
        </is>
      </c>
      <c r="T305" t="n">
        <v>0</v>
      </c>
    </row>
    <row r="306">
      <c r="A306" t="inlineStr">
        <is>
          <t>overall_greenery</t>
        </is>
      </c>
      <c r="B306" t="n">
        <v>19</v>
      </c>
      <c r="C306" t="inlineStr">
        <is>
          <t>I</t>
        </is>
      </c>
      <c r="D306" t="n">
        <v>14</v>
      </c>
      <c r="E306" t="n">
        <v>60</v>
      </c>
      <c r="F306" t="n">
        <v>196</v>
      </c>
      <c r="G306">
        <f>INT(E306+(F306-D306)/11*10)</f>
        <v/>
      </c>
      <c r="I306" t="n">
        <v>0</v>
      </c>
      <c r="J306" t="n">
        <v>0</v>
      </c>
      <c r="K306" t="n">
        <v>0</v>
      </c>
      <c r="L306" t="n">
        <v>0</v>
      </c>
      <c r="N306" t="inlineStr">
        <is>
          <t>FFFFFF</t>
        </is>
      </c>
      <c r="O306" t="inlineStr">
        <is>
          <t>L</t>
        </is>
      </c>
      <c r="Q306" t="n">
        <v>2</v>
      </c>
      <c r="R306" t="b">
        <v>0</v>
      </c>
      <c r="S306" t="inlineStr">
        <is>
          <t xml:space="preserve"> </t>
        </is>
      </c>
      <c r="T306" t="n">
        <v>0</v>
      </c>
    </row>
    <row r="307">
      <c r="A307" t="inlineStr">
        <is>
          <t>overall_greenery_label</t>
        </is>
      </c>
      <c r="B307" t="n">
        <v>19</v>
      </c>
      <c r="C307" t="inlineStr">
        <is>
          <t>T</t>
        </is>
      </c>
      <c r="D307" t="n">
        <v>30</v>
      </c>
      <c r="E307">
        <f>G306+8</f>
        <v/>
      </c>
      <c r="F307" t="n">
        <v>180</v>
      </c>
      <c r="G307">
        <f>E307+8</f>
        <v/>
      </c>
      <c r="H307" t="inlineStr">
        <is>
          <t>custom</t>
        </is>
      </c>
      <c r="I307" t="n">
        <v>16</v>
      </c>
      <c r="J307" t="n">
        <v>0</v>
      </c>
      <c r="K307" t="n">
        <v>0</v>
      </c>
      <c r="L307" t="n">
        <v>0</v>
      </c>
      <c r="M307" t="inlineStr">
        <is>
          <t>584b9f</t>
        </is>
      </c>
      <c r="N307" t="inlineStr">
        <is>
          <t>FFFFFF</t>
        </is>
      </c>
      <c r="O307" t="inlineStr">
        <is>
          <t>C</t>
        </is>
      </c>
      <c r="Q307" t="n">
        <v>2</v>
      </c>
      <c r="R307" t="b">
        <v>1</v>
      </c>
      <c r="S307" t="inlineStr">
        <is>
          <t xml:space="preserve"> </t>
        </is>
      </c>
      <c r="T307" t="n">
        <v>0</v>
      </c>
    </row>
    <row r="308">
      <c r="A308" t="inlineStr">
        <is>
          <t>pugs_header</t>
        </is>
      </c>
      <c r="B308" t="n">
        <v>20</v>
      </c>
      <c r="C308" t="inlineStr">
        <is>
          <t>T</t>
        </is>
      </c>
      <c r="D308" t="n">
        <v>14</v>
      </c>
      <c r="E308" t="n">
        <v>20</v>
      </c>
      <c r="F308" t="n">
        <v>180</v>
      </c>
      <c r="G308">
        <f>E308+5</f>
        <v/>
      </c>
      <c r="H308" t="inlineStr">
        <is>
          <t>custom</t>
        </is>
      </c>
      <c r="I308" t="n">
        <v>12</v>
      </c>
      <c r="J308" t="n">
        <v>1</v>
      </c>
      <c r="K308" t="n">
        <v>0</v>
      </c>
      <c r="L308" t="n">
        <v>0</v>
      </c>
      <c r="N308" t="inlineStr">
        <is>
          <t>FFFFFF</t>
        </is>
      </c>
      <c r="O308" t="inlineStr">
        <is>
          <t>L</t>
        </is>
      </c>
      <c r="Q308" t="n">
        <v>3</v>
      </c>
      <c r="R308" t="b">
        <v>0</v>
      </c>
      <c r="S308" t="inlineStr">
        <is>
          <t xml:space="preserve"> </t>
        </is>
      </c>
      <c r="T308" t="n">
        <v>0</v>
      </c>
    </row>
    <row r="309">
      <c r="A309" t="inlineStr">
        <is>
          <t>green_space_accessibility</t>
        </is>
      </c>
      <c r="B309" t="n">
        <v>20</v>
      </c>
      <c r="C309" t="inlineStr">
        <is>
          <t>I</t>
        </is>
      </c>
      <c r="D309" t="n">
        <v>14</v>
      </c>
      <c r="E309" t="n">
        <v>60</v>
      </c>
      <c r="F309" t="n">
        <v>196</v>
      </c>
      <c r="G309">
        <f>INT(E309+(F309-D309)/11*10)</f>
        <v/>
      </c>
      <c r="I309" t="n">
        <v>0</v>
      </c>
      <c r="J309" t="n">
        <v>0</v>
      </c>
      <c r="K309" t="n">
        <v>0</v>
      </c>
      <c r="L309" t="n">
        <v>0</v>
      </c>
      <c r="N309" t="inlineStr">
        <is>
          <t>FFFFFF</t>
        </is>
      </c>
      <c r="O309" t="inlineStr">
        <is>
          <t>L</t>
        </is>
      </c>
      <c r="Q309" t="n">
        <v>2</v>
      </c>
      <c r="R309" t="b">
        <v>0</v>
      </c>
      <c r="S309" t="inlineStr">
        <is>
          <t xml:space="preserve"> </t>
        </is>
      </c>
      <c r="T309" t="n">
        <v>0</v>
      </c>
    </row>
    <row r="310">
      <c r="A310" t="inlineStr">
        <is>
          <t>green_space_accessibility_label</t>
        </is>
      </c>
      <c r="B310" t="n">
        <v>20</v>
      </c>
      <c r="C310" t="inlineStr">
        <is>
          <t>T</t>
        </is>
      </c>
      <c r="D310" t="n">
        <v>30</v>
      </c>
      <c r="E310">
        <f>G309+8</f>
        <v/>
      </c>
      <c r="F310" t="n">
        <v>180</v>
      </c>
      <c r="G310">
        <f>E310+8</f>
        <v/>
      </c>
      <c r="H310" t="inlineStr">
        <is>
          <t>custom</t>
        </is>
      </c>
      <c r="I310" t="n">
        <v>16</v>
      </c>
      <c r="J310" t="n">
        <v>0</v>
      </c>
      <c r="K310" t="n">
        <v>0</v>
      </c>
      <c r="L310" t="n">
        <v>0</v>
      </c>
      <c r="M310" t="inlineStr">
        <is>
          <t>584b9f</t>
        </is>
      </c>
      <c r="N310" t="inlineStr">
        <is>
          <t>FFFFFF</t>
        </is>
      </c>
      <c r="O310" t="inlineStr">
        <is>
          <t>C</t>
        </is>
      </c>
      <c r="Q310" t="n">
        <v>2</v>
      </c>
      <c r="R310" t="b">
        <v>1</v>
      </c>
      <c r="S310" t="inlineStr">
        <is>
          <t xml:space="preserve"> </t>
        </is>
      </c>
      <c r="T310" t="n">
        <v>0</v>
      </c>
    </row>
    <row r="311">
      <c r="A311" t="inlineStr">
        <is>
          <t>Climate disaster risk reduction</t>
        </is>
      </c>
      <c r="B311" t="n">
        <v>21</v>
      </c>
      <c r="C311" t="inlineStr">
        <is>
          <t>T</t>
        </is>
      </c>
      <c r="D311" t="n">
        <v>14</v>
      </c>
      <c r="E311" t="n">
        <v>20</v>
      </c>
      <c r="F311" t="n">
        <v>196</v>
      </c>
      <c r="G311" t="n">
        <v>25</v>
      </c>
      <c r="H311" t="inlineStr">
        <is>
          <t>custom</t>
        </is>
      </c>
      <c r="I311" t="n">
        <v>14</v>
      </c>
      <c r="J311" t="n">
        <v>1</v>
      </c>
      <c r="K311" t="n">
        <v>0</v>
      </c>
      <c r="L311" t="n">
        <v>0</v>
      </c>
      <c r="N311" t="inlineStr">
        <is>
          <t>FFFFFF</t>
        </is>
      </c>
      <c r="O311" t="inlineStr">
        <is>
          <t>L</t>
        </is>
      </c>
      <c r="Q311" t="n">
        <v>2</v>
      </c>
      <c r="R311" t="b">
        <v>1</v>
      </c>
      <c r="S311" t="inlineStr">
        <is>
          <t xml:space="preserve"> </t>
        </is>
      </c>
      <c r="T311" t="n">
        <v>0</v>
      </c>
    </row>
    <row r="312">
      <c r="A312" t="inlineStr">
        <is>
          <t>Climate disaster risk reduction description</t>
        </is>
      </c>
      <c r="B312" t="n">
        <v>21</v>
      </c>
      <c r="C312" t="inlineStr">
        <is>
          <t>T</t>
        </is>
      </c>
      <c r="D312" t="n">
        <v>14</v>
      </c>
      <c r="E312" t="n">
        <v>33</v>
      </c>
      <c r="F312" t="n">
        <v>196</v>
      </c>
      <c r="G312" t="n">
        <v>38</v>
      </c>
      <c r="H312" t="inlineStr">
        <is>
          <t>custom</t>
        </is>
      </c>
      <c r="I312" t="n">
        <v>12</v>
      </c>
      <c r="J312" t="n">
        <v>0</v>
      </c>
      <c r="K312" t="n">
        <v>0</v>
      </c>
      <c r="L312" t="n">
        <v>0</v>
      </c>
      <c r="N312" t="inlineStr">
        <is>
          <t>FFFFFF</t>
        </is>
      </c>
      <c r="O312" t="inlineStr">
        <is>
          <t>L</t>
        </is>
      </c>
      <c r="Q312" t="n">
        <v>2</v>
      </c>
      <c r="R312" t="b">
        <v>1</v>
      </c>
      <c r="T312" t="n">
        <v>0</v>
      </c>
    </row>
    <row r="313">
      <c r="A313" t="inlineStr">
        <is>
          <t>policy_box_checklist7</t>
        </is>
      </c>
      <c r="B313" t="n">
        <v>21</v>
      </c>
      <c r="C313" t="inlineStr">
        <is>
          <t>B</t>
        </is>
      </c>
      <c r="D313" t="n">
        <v>0</v>
      </c>
      <c r="E313" t="n">
        <v>75</v>
      </c>
      <c r="F313" t="n">
        <v>210</v>
      </c>
      <c r="G313" t="n">
        <v>123</v>
      </c>
      <c r="I313" t="n">
        <v>0</v>
      </c>
      <c r="J313" t="n">
        <v>1</v>
      </c>
      <c r="K313" t="n">
        <v>0</v>
      </c>
      <c r="L313" t="n">
        <v>0</v>
      </c>
      <c r="M313" t="inlineStr">
        <is>
          <t>d0d8dd</t>
        </is>
      </c>
      <c r="N313" t="inlineStr">
        <is>
          <t>d0d8dd</t>
        </is>
      </c>
      <c r="O313" t="inlineStr">
        <is>
          <t>L</t>
        </is>
      </c>
      <c r="Q313" t="n">
        <v>1</v>
      </c>
      <c r="R313" t="b">
        <v>0</v>
      </c>
      <c r="S313" t="inlineStr">
        <is>
          <t xml:space="preserve"> </t>
        </is>
      </c>
      <c r="T313" t="n">
        <v>0</v>
      </c>
    </row>
    <row r="314">
      <c r="A314" t="inlineStr">
        <is>
          <t>policy_checklist7_title</t>
        </is>
      </c>
      <c r="B314" t="n">
        <v>21</v>
      </c>
      <c r="C314" t="inlineStr">
        <is>
          <t>T</t>
        </is>
      </c>
      <c r="D314" t="n">
        <v>14</v>
      </c>
      <c r="E314" t="n">
        <v>80</v>
      </c>
      <c r="F314" t="n">
        <v>196</v>
      </c>
      <c r="G314" t="n">
        <v>83</v>
      </c>
      <c r="H314" t="inlineStr">
        <is>
          <t>custom</t>
        </is>
      </c>
      <c r="I314" t="n">
        <v>12</v>
      </c>
      <c r="J314" t="n">
        <v>1</v>
      </c>
      <c r="K314" t="n">
        <v>0</v>
      </c>
      <c r="L314" t="n">
        <v>0</v>
      </c>
      <c r="N314" t="inlineStr">
        <is>
          <t>d0d8dd</t>
        </is>
      </c>
      <c r="O314" t="inlineStr">
        <is>
          <t>L</t>
        </is>
      </c>
      <c r="Q314" t="n">
        <v>3</v>
      </c>
      <c r="R314" t="b">
        <v>0</v>
      </c>
      <c r="S314" t="inlineStr">
        <is>
          <t xml:space="preserve"> </t>
        </is>
      </c>
      <c r="T314" t="n">
        <v>0</v>
      </c>
    </row>
    <row r="315">
      <c r="A315" t="inlineStr">
        <is>
          <t>policy_checklist_header1</t>
        </is>
      </c>
      <c r="B315" t="n">
        <v>21</v>
      </c>
      <c r="C315" t="inlineStr">
        <is>
          <t>T</t>
        </is>
      </c>
      <c r="D315" t="n">
        <v>113</v>
      </c>
      <c r="E315" t="n">
        <v>77</v>
      </c>
      <c r="F315" t="n">
        <v>140</v>
      </c>
      <c r="G315" t="n">
        <v>82</v>
      </c>
      <c r="H315" t="inlineStr">
        <is>
          <t>custom</t>
        </is>
      </c>
      <c r="I315" t="n">
        <v>10</v>
      </c>
      <c r="J315" t="n">
        <v>1</v>
      </c>
      <c r="K315" t="n">
        <v>0</v>
      </c>
      <c r="L315" t="n">
        <v>0</v>
      </c>
      <c r="N315" t="inlineStr">
        <is>
          <t>d0d8dd</t>
        </is>
      </c>
      <c r="O315" t="inlineStr">
        <is>
          <t>C</t>
        </is>
      </c>
      <c r="Q315" t="n">
        <v>3</v>
      </c>
      <c r="R315" t="b">
        <v>1</v>
      </c>
      <c r="S315" t="inlineStr">
        <is>
          <t xml:space="preserve"> </t>
        </is>
      </c>
      <c r="T315" t="n">
        <v>0</v>
      </c>
    </row>
    <row r="316">
      <c r="A316" t="inlineStr">
        <is>
          <t>policy_checklist_header2</t>
        </is>
      </c>
      <c r="B316" t="n">
        <v>21</v>
      </c>
      <c r="C316" t="inlineStr">
        <is>
          <t>T</t>
        </is>
      </c>
      <c r="D316" t="n">
        <v>140</v>
      </c>
      <c r="E316" t="n">
        <v>77</v>
      </c>
      <c r="F316" t="n">
        <v>169</v>
      </c>
      <c r="G316" t="n">
        <v>82</v>
      </c>
      <c r="H316" t="inlineStr">
        <is>
          <t>custom</t>
        </is>
      </c>
      <c r="I316" t="n">
        <v>10</v>
      </c>
      <c r="J316" t="n">
        <v>1</v>
      </c>
      <c r="K316" t="n">
        <v>0</v>
      </c>
      <c r="L316" t="n">
        <v>0</v>
      </c>
      <c r="N316" t="inlineStr">
        <is>
          <t>d0d8dd</t>
        </is>
      </c>
      <c r="O316" t="inlineStr">
        <is>
          <t>C</t>
        </is>
      </c>
      <c r="Q316" t="n">
        <v>3</v>
      </c>
      <c r="R316" t="b">
        <v>1</v>
      </c>
      <c r="S316" t="inlineStr">
        <is>
          <t xml:space="preserve"> </t>
        </is>
      </c>
      <c r="T316" t="n">
        <v>0</v>
      </c>
    </row>
    <row r="317">
      <c r="A317" t="inlineStr">
        <is>
          <t>policy_checklist_header3</t>
        </is>
      </c>
      <c r="B317" t="n">
        <v>21</v>
      </c>
      <c r="C317" t="inlineStr">
        <is>
          <t>T</t>
        </is>
      </c>
      <c r="D317" t="n">
        <v>168</v>
      </c>
      <c r="E317" t="n">
        <v>77</v>
      </c>
      <c r="F317" t="n">
        <v>194</v>
      </c>
      <c r="G317" t="n">
        <v>82</v>
      </c>
      <c r="H317" t="inlineStr">
        <is>
          <t>custom</t>
        </is>
      </c>
      <c r="I317" t="n">
        <v>10</v>
      </c>
      <c r="J317" t="n">
        <v>1</v>
      </c>
      <c r="K317" t="n">
        <v>0</v>
      </c>
      <c r="L317" t="n">
        <v>0</v>
      </c>
      <c r="N317" t="inlineStr">
        <is>
          <t>d0d8dd</t>
        </is>
      </c>
      <c r="O317" t="inlineStr">
        <is>
          <t>C</t>
        </is>
      </c>
      <c r="Q317" t="n">
        <v>3</v>
      </c>
      <c r="R317" t="b">
        <v>1</v>
      </c>
      <c r="S317" t="inlineStr">
        <is>
          <t xml:space="preserve"> </t>
        </is>
      </c>
      <c r="T317" t="n">
        <v>0</v>
      </c>
    </row>
    <row r="318">
      <c r="A318" t="inlineStr">
        <is>
          <t>table_vline1</t>
        </is>
      </c>
      <c r="B318" t="n">
        <v>21</v>
      </c>
      <c r="C318" t="inlineStr">
        <is>
          <t>L</t>
        </is>
      </c>
      <c r="D318" t="n">
        <v>114</v>
      </c>
      <c r="E318" t="n">
        <v>75</v>
      </c>
      <c r="F318" t="n">
        <v>114</v>
      </c>
      <c r="G318" t="n">
        <v>123</v>
      </c>
      <c r="I318" t="n">
        <v>0.5</v>
      </c>
      <c r="J318" t="n">
        <v>0</v>
      </c>
      <c r="K318" t="n">
        <v>0</v>
      </c>
      <c r="L318" t="n">
        <v>0</v>
      </c>
      <c r="M318" t="inlineStr">
        <is>
          <t>FFFFFF</t>
        </is>
      </c>
      <c r="N318" t="inlineStr">
        <is>
          <t>d0d8dd</t>
        </is>
      </c>
      <c r="O318" t="inlineStr">
        <is>
          <t>L</t>
        </is>
      </c>
      <c r="Q318" t="n">
        <v>4</v>
      </c>
      <c r="R318" t="b">
        <v>0</v>
      </c>
      <c r="S318" t="inlineStr">
        <is>
          <t xml:space="preserve"> </t>
        </is>
      </c>
      <c r="T318" t="n">
        <v>0</v>
      </c>
    </row>
    <row r="319">
      <c r="A319" t="inlineStr">
        <is>
          <t>table_vline2</t>
        </is>
      </c>
      <c r="B319" t="n">
        <v>21</v>
      </c>
      <c r="C319" t="inlineStr">
        <is>
          <t>L</t>
        </is>
      </c>
      <c r="D319" t="n">
        <v>141</v>
      </c>
      <c r="E319" t="n">
        <v>75</v>
      </c>
      <c r="F319" t="n">
        <v>141</v>
      </c>
      <c r="G319" t="n">
        <v>123</v>
      </c>
      <c r="I319" t="n">
        <v>0.5</v>
      </c>
      <c r="J319" t="n">
        <v>0</v>
      </c>
      <c r="K319" t="n">
        <v>0</v>
      </c>
      <c r="L319" t="n">
        <v>0</v>
      </c>
      <c r="M319" t="inlineStr">
        <is>
          <t>FFFFFF</t>
        </is>
      </c>
      <c r="N319" t="inlineStr">
        <is>
          <t>d0d8dd</t>
        </is>
      </c>
      <c r="O319" t="inlineStr">
        <is>
          <t>L</t>
        </is>
      </c>
      <c r="Q319" t="n">
        <v>4</v>
      </c>
      <c r="R319" t="b">
        <v>0</v>
      </c>
      <c r="S319" t="inlineStr">
        <is>
          <t xml:space="preserve"> </t>
        </is>
      </c>
      <c r="T319" t="n">
        <v>0</v>
      </c>
    </row>
    <row r="320">
      <c r="A320" t="inlineStr">
        <is>
          <t>table_vline3</t>
        </is>
      </c>
      <c r="B320" t="n">
        <v>21</v>
      </c>
      <c r="C320" t="inlineStr">
        <is>
          <t>L</t>
        </is>
      </c>
      <c r="D320" t="n">
        <v>168</v>
      </c>
      <c r="E320" t="n">
        <v>75</v>
      </c>
      <c r="F320" t="n">
        <v>168</v>
      </c>
      <c r="G320" t="n">
        <v>123</v>
      </c>
      <c r="I320" t="n">
        <v>0.5</v>
      </c>
      <c r="J320" t="n">
        <v>0</v>
      </c>
      <c r="K320" t="n">
        <v>0</v>
      </c>
      <c r="L320" t="n">
        <v>0</v>
      </c>
      <c r="M320" t="inlineStr">
        <is>
          <t>FFFFFF</t>
        </is>
      </c>
      <c r="N320" t="inlineStr">
        <is>
          <t>d0d8dd</t>
        </is>
      </c>
      <c r="O320" t="inlineStr">
        <is>
          <t>L</t>
        </is>
      </c>
      <c r="Q320" t="n">
        <v>4</v>
      </c>
      <c r="R320" t="b">
        <v>0</v>
      </c>
      <c r="S320" t="inlineStr">
        <is>
          <t xml:space="preserve"> </t>
        </is>
      </c>
      <c r="T320" t="n">
        <v>0</v>
      </c>
    </row>
    <row r="321">
      <c r="A321" t="inlineStr">
        <is>
          <t>table_hline_mid</t>
        </is>
      </c>
      <c r="B321" t="n">
        <v>21</v>
      </c>
      <c r="C321" t="inlineStr">
        <is>
          <t>L</t>
        </is>
      </c>
      <c r="D321" t="n">
        <v>14</v>
      </c>
      <c r="E321" t="n">
        <v>102</v>
      </c>
      <c r="F321" t="n">
        <v>196</v>
      </c>
      <c r="G321" t="n">
        <v>102</v>
      </c>
      <c r="I321" t="n">
        <v>0.5</v>
      </c>
      <c r="J321" t="n">
        <v>0</v>
      </c>
      <c r="K321" t="n">
        <v>0</v>
      </c>
      <c r="L321" t="n">
        <v>0</v>
      </c>
      <c r="M321" t="inlineStr">
        <is>
          <t>FFFFFF</t>
        </is>
      </c>
      <c r="N321" t="inlineStr">
        <is>
          <t>d0d8dd</t>
        </is>
      </c>
      <c r="O321" t="inlineStr">
        <is>
          <t>L</t>
        </is>
      </c>
      <c r="Q321" t="n">
        <v>4</v>
      </c>
      <c r="R321" t="b">
        <v>0</v>
      </c>
      <c r="S321" t="inlineStr">
        <is>
          <t xml:space="preserve"> </t>
        </is>
      </c>
      <c r="T321" t="n">
        <v>0</v>
      </c>
    </row>
    <row r="322">
      <c r="A322" t="inlineStr">
        <is>
          <t>Policy key</t>
        </is>
      </c>
      <c r="B322" t="n">
        <v>21</v>
      </c>
      <c r="C322" t="inlineStr">
        <is>
          <t>T</t>
        </is>
      </c>
      <c r="D322" t="n">
        <v>14</v>
      </c>
      <c r="E322" t="n">
        <v>125</v>
      </c>
      <c r="F322" t="n">
        <v>196</v>
      </c>
      <c r="G322" t="n">
        <v>129</v>
      </c>
      <c r="H322" t="inlineStr">
        <is>
          <t>custom</t>
        </is>
      </c>
      <c r="I322" t="n">
        <v>10</v>
      </c>
      <c r="J322" t="n">
        <v>0</v>
      </c>
      <c r="K322" t="n">
        <v>0</v>
      </c>
      <c r="L322" t="n">
        <v>0</v>
      </c>
      <c r="N322" t="inlineStr">
        <is>
          <t>FFFFFF</t>
        </is>
      </c>
      <c r="O322" t="inlineStr">
        <is>
          <t>R</t>
        </is>
      </c>
      <c r="Q322" t="n">
        <v>2</v>
      </c>
      <c r="R322" t="b">
        <v>0</v>
      </c>
      <c r="S322" t="inlineStr">
        <is>
          <t xml:space="preserve"> </t>
        </is>
      </c>
      <c r="T322" t="n">
        <v>0</v>
      </c>
    </row>
    <row r="323">
      <c r="A323" t="inlineStr">
        <is>
          <t>policy_checklist7_text1</t>
        </is>
      </c>
      <c r="B323" t="n">
        <v>21</v>
      </c>
      <c r="C323" t="inlineStr">
        <is>
          <t>T</t>
        </is>
      </c>
      <c r="D323" t="n">
        <v>14</v>
      </c>
      <c r="E323" t="n">
        <v>104</v>
      </c>
      <c r="F323" t="n">
        <v>112</v>
      </c>
      <c r="G323" t="n">
        <v>109</v>
      </c>
      <c r="H323" t="inlineStr">
        <is>
          <t>custom</t>
        </is>
      </c>
      <c r="I323" t="n">
        <v>12</v>
      </c>
      <c r="J323" t="n">
        <v>0</v>
      </c>
      <c r="K323" t="n">
        <v>0</v>
      </c>
      <c r="L323" t="n">
        <v>0</v>
      </c>
      <c r="N323" t="inlineStr">
        <is>
          <t>d0d8dd</t>
        </is>
      </c>
      <c r="O323" t="inlineStr">
        <is>
          <t>L</t>
        </is>
      </c>
      <c r="Q323" t="n">
        <v>3</v>
      </c>
      <c r="R323" t="b">
        <v>1</v>
      </c>
      <c r="S323" t="inlineStr">
        <is>
          <t xml:space="preserve"> </t>
        </is>
      </c>
      <c r="T323" t="n">
        <v>0</v>
      </c>
    </row>
    <row r="324">
      <c r="A324" t="inlineStr">
        <is>
          <t>policy_checklist7_text1_response1</t>
        </is>
      </c>
      <c r="B324" t="n">
        <v>21</v>
      </c>
      <c r="C324" t="inlineStr">
        <is>
          <t>T</t>
        </is>
      </c>
      <c r="D324" t="n">
        <v>113</v>
      </c>
      <c r="E324" t="n">
        <v>105</v>
      </c>
      <c r="F324" t="n">
        <v>140</v>
      </c>
      <c r="G324" t="n">
        <v>108</v>
      </c>
      <c r="H324" t="inlineStr">
        <is>
          <t>dejavu</t>
        </is>
      </c>
      <c r="I324" t="n">
        <v>16</v>
      </c>
      <c r="J324" t="n">
        <v>1</v>
      </c>
      <c r="K324" t="n">
        <v>0</v>
      </c>
      <c r="L324" t="n">
        <v>0</v>
      </c>
      <c r="N324" t="inlineStr">
        <is>
          <t>d0d8dd</t>
        </is>
      </c>
      <c r="O324" t="inlineStr">
        <is>
          <t>C</t>
        </is>
      </c>
      <c r="Q324" t="n">
        <v>2</v>
      </c>
      <c r="R324" t="b">
        <v>0</v>
      </c>
      <c r="S324" t="inlineStr">
        <is>
          <t xml:space="preserve"> </t>
        </is>
      </c>
      <c r="T324" t="n">
        <v>0</v>
      </c>
    </row>
    <row r="325">
      <c r="A325" t="inlineStr">
        <is>
          <t>policy_checklist7_text1_response2</t>
        </is>
      </c>
      <c r="B325" t="n">
        <v>21</v>
      </c>
      <c r="C325" t="inlineStr">
        <is>
          <t>T</t>
        </is>
      </c>
      <c r="D325" t="n">
        <v>140</v>
      </c>
      <c r="E325" t="n">
        <v>105</v>
      </c>
      <c r="F325" t="n">
        <v>169</v>
      </c>
      <c r="G325" t="n">
        <v>108</v>
      </c>
      <c r="H325" t="inlineStr">
        <is>
          <t>dejavu</t>
        </is>
      </c>
      <c r="I325" t="n">
        <v>16</v>
      </c>
      <c r="J325" t="n">
        <v>1</v>
      </c>
      <c r="K325" t="n">
        <v>0</v>
      </c>
      <c r="L325" t="n">
        <v>0</v>
      </c>
      <c r="N325" t="inlineStr">
        <is>
          <t>d0d8dd</t>
        </is>
      </c>
      <c r="O325" t="inlineStr">
        <is>
          <t>C</t>
        </is>
      </c>
      <c r="Q325" t="n">
        <v>2</v>
      </c>
      <c r="R325" t="b">
        <v>0</v>
      </c>
      <c r="S325" t="inlineStr">
        <is>
          <t xml:space="preserve"> </t>
        </is>
      </c>
      <c r="T325" t="n">
        <v>0</v>
      </c>
    </row>
    <row r="326">
      <c r="A326" t="inlineStr">
        <is>
          <t>policy_checklist7_text1_response3</t>
        </is>
      </c>
      <c r="B326" t="n">
        <v>21</v>
      </c>
      <c r="C326" t="inlineStr">
        <is>
          <t>T</t>
        </is>
      </c>
      <c r="D326" t="n">
        <v>168</v>
      </c>
      <c r="E326" t="n">
        <v>105</v>
      </c>
      <c r="F326" t="n">
        <v>194</v>
      </c>
      <c r="G326" t="n">
        <v>108</v>
      </c>
      <c r="H326" t="inlineStr">
        <is>
          <t>dejavu</t>
        </is>
      </c>
      <c r="I326" t="n">
        <v>16</v>
      </c>
      <c r="J326" t="n">
        <v>1</v>
      </c>
      <c r="K326" t="n">
        <v>0</v>
      </c>
      <c r="L326" t="n">
        <v>0</v>
      </c>
      <c r="N326" t="inlineStr">
        <is>
          <t>d0d8dd</t>
        </is>
      </c>
      <c r="O326" t="inlineStr">
        <is>
          <t>C</t>
        </is>
      </c>
      <c r="Q326" t="n">
        <v>2</v>
      </c>
      <c r="R326" t="b">
        <v>0</v>
      </c>
      <c r="S326" t="inlineStr">
        <is>
          <t xml:space="preserve"> </t>
        </is>
      </c>
      <c r="T326" t="n">
        <v>0</v>
      </c>
    </row>
    <row r="327">
      <c r="A327" t="inlineStr">
        <is>
          <t>hero_image_4</t>
        </is>
      </c>
      <c r="B327" t="n">
        <v>21</v>
      </c>
      <c r="C327" t="inlineStr">
        <is>
          <t>I</t>
        </is>
      </c>
      <c r="D327" t="n">
        <v>30</v>
      </c>
      <c r="E327" t="n">
        <v>130</v>
      </c>
      <c r="F327" t="n">
        <v>180</v>
      </c>
      <c r="G327" t="n">
        <v>280</v>
      </c>
      <c r="I327" t="n">
        <v>0</v>
      </c>
      <c r="J327" t="n">
        <v>0</v>
      </c>
      <c r="K327" t="n">
        <v>0</v>
      </c>
      <c r="L327" t="n">
        <v>0</v>
      </c>
      <c r="N327" t="inlineStr">
        <is>
          <t>FFFFFF</t>
        </is>
      </c>
      <c r="O327" t="inlineStr">
        <is>
          <t>L</t>
        </is>
      </c>
      <c r="Q327" t="n">
        <v>0</v>
      </c>
      <c r="R327" t="b">
        <v>0</v>
      </c>
      <c r="S327" t="inlineStr">
        <is>
          <t xml:space="preserve"> </t>
        </is>
      </c>
      <c r="T327" t="n">
        <v>0</v>
      </c>
    </row>
    <row r="328">
      <c r="A328" t="inlineStr">
        <is>
          <t>hero_alt_4</t>
        </is>
      </c>
      <c r="B328" t="n">
        <v>21</v>
      </c>
      <c r="C328" t="inlineStr">
        <is>
          <t>T</t>
        </is>
      </c>
      <c r="D328" t="n">
        <v>30</v>
      </c>
      <c r="E328" t="n">
        <v>130</v>
      </c>
      <c r="F328" t="n">
        <v>130</v>
      </c>
      <c r="G328" t="n">
        <v>280</v>
      </c>
      <c r="H328" t="inlineStr">
        <is>
          <t>custom</t>
        </is>
      </c>
      <c r="I328" t="n">
        <v>12</v>
      </c>
      <c r="J328" t="n">
        <v>0</v>
      </c>
      <c r="K328" t="n">
        <v>1</v>
      </c>
      <c r="L328" t="n">
        <v>0</v>
      </c>
      <c r="N328" t="inlineStr">
        <is>
          <t>FFFFFF</t>
        </is>
      </c>
      <c r="O328" t="inlineStr">
        <is>
          <t>L</t>
        </is>
      </c>
      <c r="Q328" t="n">
        <v>0</v>
      </c>
      <c r="R328" t="b">
        <v>1</v>
      </c>
      <c r="S328" t="inlineStr">
        <is>
          <t xml:space="preserve"> </t>
        </is>
      </c>
      <c r="T328" t="n">
        <v>0</v>
      </c>
    </row>
    <row r="329">
      <c r="A329" t="inlineStr">
        <is>
          <t>Image 4 credit</t>
        </is>
      </c>
      <c r="B329" t="n">
        <v>21</v>
      </c>
      <c r="C329" t="inlineStr">
        <is>
          <t>T</t>
        </is>
      </c>
      <c r="D329" t="n">
        <v>30</v>
      </c>
      <c r="E329" t="n">
        <v>280</v>
      </c>
      <c r="F329" t="n">
        <v>180</v>
      </c>
      <c r="G329" t="n">
        <v>283</v>
      </c>
      <c r="H329" t="inlineStr">
        <is>
          <t>custom</t>
        </is>
      </c>
      <c r="I329" t="n">
        <v>8</v>
      </c>
      <c r="J329" t="n">
        <v>0</v>
      </c>
      <c r="K329" t="n">
        <v>1</v>
      </c>
      <c r="L329" t="n">
        <v>0</v>
      </c>
      <c r="M329" t="inlineStr">
        <is>
          <t>584b9f</t>
        </is>
      </c>
      <c r="N329" t="inlineStr">
        <is>
          <t>FFFFFF</t>
        </is>
      </c>
      <c r="O329" t="inlineStr">
        <is>
          <t>R</t>
        </is>
      </c>
      <c r="Q329" t="n">
        <v>0</v>
      </c>
      <c r="R329" t="b">
        <v>1</v>
      </c>
      <c r="S329" t="inlineStr">
        <is>
          <t xml:space="preserve"> </t>
        </is>
      </c>
      <c r="T329" t="n">
        <v>0</v>
      </c>
    </row>
    <row r="330">
      <c r="A330" t="inlineStr">
        <is>
          <t>urban_heat_exposure_header</t>
        </is>
      </c>
      <c r="B330" t="n">
        <v>22</v>
      </c>
      <c r="C330" t="inlineStr">
        <is>
          <t>T</t>
        </is>
      </c>
      <c r="D330" t="n">
        <v>14</v>
      </c>
      <c r="E330" t="n">
        <v>20</v>
      </c>
      <c r="F330" t="n">
        <v>180</v>
      </c>
      <c r="G330">
        <f>E330+5</f>
        <v/>
      </c>
      <c r="H330" t="inlineStr">
        <is>
          <t>custom</t>
        </is>
      </c>
      <c r="I330" t="n">
        <v>12</v>
      </c>
      <c r="J330" t="n">
        <v>1</v>
      </c>
      <c r="K330" t="n">
        <v>0</v>
      </c>
      <c r="L330" t="n">
        <v>0</v>
      </c>
      <c r="N330" t="inlineStr">
        <is>
          <t>FFFFFF</t>
        </is>
      </c>
      <c r="O330" t="inlineStr">
        <is>
          <t>L</t>
        </is>
      </c>
      <c r="Q330" t="n">
        <v>3</v>
      </c>
      <c r="R330" t="b">
        <v>0</v>
      </c>
      <c r="S330" t="inlineStr">
        <is>
          <t xml:space="preserve"> </t>
        </is>
      </c>
      <c r="T330" t="n">
        <v>0</v>
      </c>
    </row>
    <row r="331">
      <c r="A331" t="inlineStr">
        <is>
          <t>land_surface_temperature</t>
        </is>
      </c>
      <c r="B331" t="n">
        <v>22</v>
      </c>
      <c r="C331" t="inlineStr">
        <is>
          <t>I</t>
        </is>
      </c>
      <c r="D331" t="n">
        <v>14</v>
      </c>
      <c r="E331" t="n">
        <v>60</v>
      </c>
      <c r="F331" t="n">
        <v>196</v>
      </c>
      <c r="G331">
        <f>INT(E331+(F331-D331)/11*10)</f>
        <v/>
      </c>
      <c r="I331" t="n">
        <v>0</v>
      </c>
      <c r="J331" t="n">
        <v>0</v>
      </c>
      <c r="K331" t="n">
        <v>0</v>
      </c>
      <c r="L331" t="n">
        <v>0</v>
      </c>
      <c r="N331" t="inlineStr">
        <is>
          <t>FFFFFF</t>
        </is>
      </c>
      <c r="O331" t="inlineStr">
        <is>
          <t>L</t>
        </is>
      </c>
      <c r="Q331" t="n">
        <v>2</v>
      </c>
      <c r="R331" t="b">
        <v>0</v>
      </c>
      <c r="S331" t="inlineStr">
        <is>
          <t xml:space="preserve"> </t>
        </is>
      </c>
      <c r="T331" t="n">
        <v>0</v>
      </c>
    </row>
    <row r="332">
      <c r="A332" t="inlineStr">
        <is>
          <t>land_surface_temperature_label</t>
        </is>
      </c>
      <c r="B332" t="n">
        <v>22</v>
      </c>
      <c r="C332" t="inlineStr">
        <is>
          <t>T</t>
        </is>
      </c>
      <c r="D332" t="n">
        <v>30</v>
      </c>
      <c r="E332">
        <f>G331+8</f>
        <v/>
      </c>
      <c r="F332" t="n">
        <v>180</v>
      </c>
      <c r="G332">
        <f>E332+8</f>
        <v/>
      </c>
      <c r="H332" t="inlineStr">
        <is>
          <t>custom</t>
        </is>
      </c>
      <c r="I332" t="n">
        <v>16</v>
      </c>
      <c r="J332" t="n">
        <v>0</v>
      </c>
      <c r="K332" t="n">
        <v>0</v>
      </c>
      <c r="L332" t="n">
        <v>0</v>
      </c>
      <c r="M332" t="inlineStr">
        <is>
          <t>584b9f</t>
        </is>
      </c>
      <c r="N332" t="inlineStr">
        <is>
          <t>FFFFFF</t>
        </is>
      </c>
      <c r="O332" t="inlineStr">
        <is>
          <t>C</t>
        </is>
      </c>
      <c r="Q332" t="n">
        <v>2</v>
      </c>
      <c r="R332" t="b">
        <v>1</v>
      </c>
      <c r="S332" t="inlineStr">
        <is>
          <t xml:space="preserve"> </t>
        </is>
      </c>
      <c r="T332" t="n">
        <v>0</v>
      </c>
    </row>
    <row r="333">
      <c r="A333" t="inlineStr">
        <is>
          <t>guhvi_header</t>
        </is>
      </c>
      <c r="B333" t="n">
        <v>23</v>
      </c>
      <c r="C333" t="inlineStr">
        <is>
          <t>T</t>
        </is>
      </c>
      <c r="D333" t="n">
        <v>14</v>
      </c>
      <c r="E333" t="n">
        <v>20</v>
      </c>
      <c r="F333" t="n">
        <v>180</v>
      </c>
      <c r="G333">
        <f>E333+5</f>
        <v/>
      </c>
      <c r="H333" t="inlineStr">
        <is>
          <t>custom</t>
        </is>
      </c>
      <c r="I333" t="n">
        <v>12</v>
      </c>
      <c r="J333" t="n">
        <v>1</v>
      </c>
      <c r="K333" t="n">
        <v>0</v>
      </c>
      <c r="L333" t="n">
        <v>0</v>
      </c>
      <c r="N333" t="inlineStr">
        <is>
          <t>FFFFFF</t>
        </is>
      </c>
      <c r="O333" t="inlineStr">
        <is>
          <t>L</t>
        </is>
      </c>
      <c r="Q333" t="n">
        <v>3</v>
      </c>
      <c r="R333" t="b">
        <v>0</v>
      </c>
      <c r="S333" t="inlineStr">
        <is>
          <t xml:space="preserve"> </t>
        </is>
      </c>
      <c r="T333" t="n">
        <v>0</v>
      </c>
    </row>
    <row r="334">
      <c r="A334" t="inlineStr">
        <is>
          <t>guhvi_description</t>
        </is>
      </c>
      <c r="B334" t="n">
        <v>23</v>
      </c>
      <c r="C334" t="inlineStr">
        <is>
          <t>T</t>
        </is>
      </c>
      <c r="D334" t="n">
        <v>14</v>
      </c>
      <c r="E334">
        <f>G333+8</f>
        <v/>
      </c>
      <c r="F334" t="n">
        <v>196</v>
      </c>
      <c r="G334">
        <f>E334+5</f>
        <v/>
      </c>
      <c r="H334" t="inlineStr">
        <is>
          <t>custom</t>
        </is>
      </c>
      <c r="I334" t="n">
        <v>12</v>
      </c>
      <c r="J334" t="n">
        <v>0</v>
      </c>
      <c r="K334" t="n">
        <v>0</v>
      </c>
      <c r="L334" t="n">
        <v>0</v>
      </c>
      <c r="N334" t="inlineStr">
        <is>
          <t>FFFFFF</t>
        </is>
      </c>
      <c r="O334" t="inlineStr">
        <is>
          <t>L</t>
        </is>
      </c>
      <c r="P334" s="1" t="n"/>
      <c r="Q334" t="n">
        <v>2</v>
      </c>
      <c r="R334" t="b">
        <v>1</v>
      </c>
      <c r="S334" t="inlineStr">
        <is>
          <t xml:space="preserve"> </t>
        </is>
      </c>
      <c r="T334" t="n">
        <v>0</v>
      </c>
    </row>
    <row r="335">
      <c r="A335" t="inlineStr">
        <is>
          <t>global_urban_heat_vulnerability_index</t>
        </is>
      </c>
      <c r="B335" t="n">
        <v>23</v>
      </c>
      <c r="C335" t="inlineStr">
        <is>
          <t>I</t>
        </is>
      </c>
      <c r="D335" t="n">
        <v>14</v>
      </c>
      <c r="E335" t="n">
        <v>60</v>
      </c>
      <c r="F335" t="n">
        <v>196</v>
      </c>
      <c r="G335">
        <f>INT(E335+(F335-D335)/11*10)</f>
        <v/>
      </c>
      <c r="I335" t="n">
        <v>0</v>
      </c>
      <c r="J335" t="n">
        <v>0</v>
      </c>
      <c r="K335" t="n">
        <v>0</v>
      </c>
      <c r="L335" t="n">
        <v>0</v>
      </c>
      <c r="N335" t="inlineStr">
        <is>
          <t>FFFFFF</t>
        </is>
      </c>
      <c r="O335" t="inlineStr">
        <is>
          <t>L</t>
        </is>
      </c>
      <c r="Q335" t="n">
        <v>2</v>
      </c>
      <c r="R335" t="b">
        <v>0</v>
      </c>
      <c r="S335" t="inlineStr">
        <is>
          <t xml:space="preserve"> </t>
        </is>
      </c>
      <c r="T335" t="n">
        <v>0</v>
      </c>
    </row>
    <row r="336">
      <c r="A336" t="inlineStr">
        <is>
          <t>global_urban_heat_vulnerability_index_label</t>
        </is>
      </c>
      <c r="B336" t="n">
        <v>23</v>
      </c>
      <c r="C336" t="inlineStr">
        <is>
          <t>T</t>
        </is>
      </c>
      <c r="D336" t="n">
        <v>14</v>
      </c>
      <c r="E336">
        <f>G335+8</f>
        <v/>
      </c>
      <c r="F336" t="n">
        <v>196</v>
      </c>
      <c r="G336">
        <f>E336+8</f>
        <v/>
      </c>
      <c r="H336" t="inlineStr">
        <is>
          <t>custom</t>
        </is>
      </c>
      <c r="I336" t="n">
        <v>16</v>
      </c>
      <c r="J336" t="n">
        <v>0</v>
      </c>
      <c r="K336" t="n">
        <v>0</v>
      </c>
      <c r="L336" t="n">
        <v>0</v>
      </c>
      <c r="M336" t="inlineStr">
        <is>
          <t>584b9f</t>
        </is>
      </c>
      <c r="N336" t="inlineStr">
        <is>
          <t>FFFFFF</t>
        </is>
      </c>
      <c r="O336" t="inlineStr">
        <is>
          <t>C</t>
        </is>
      </c>
      <c r="Q336" t="n">
        <v>2</v>
      </c>
      <c r="R336" t="b">
        <v>1</v>
      </c>
      <c r="S336" t="inlineStr">
        <is>
          <t xml:space="preserve"> </t>
        </is>
      </c>
      <c r="T336" t="n">
        <v>0</v>
      </c>
    </row>
    <row r="337">
      <c r="A337" t="inlineStr">
        <is>
          <t>executive_summary</t>
        </is>
      </c>
      <c r="B337" t="n">
        <v>24</v>
      </c>
      <c r="C337" t="inlineStr">
        <is>
          <t>T</t>
        </is>
      </c>
      <c r="D337" t="n">
        <v>14</v>
      </c>
      <c r="E337" t="n">
        <v>20</v>
      </c>
      <c r="F337" t="n">
        <v>196</v>
      </c>
      <c r="G337" t="n">
        <v>25</v>
      </c>
      <c r="H337" t="inlineStr">
        <is>
          <t>custom</t>
        </is>
      </c>
      <c r="I337" t="n">
        <v>14</v>
      </c>
      <c r="J337" t="n">
        <v>1</v>
      </c>
      <c r="K337" t="n">
        <v>0</v>
      </c>
      <c r="L337" t="n">
        <v>0</v>
      </c>
      <c r="N337" t="inlineStr">
        <is>
          <t>FFFFFF</t>
        </is>
      </c>
      <c r="O337" t="inlineStr">
        <is>
          <t>L</t>
        </is>
      </c>
      <c r="Q337" t="n">
        <v>2</v>
      </c>
      <c r="R337" t="b">
        <v>1</v>
      </c>
      <c r="S337" t="inlineStr">
        <is>
          <t xml:space="preserve"> </t>
        </is>
      </c>
      <c r="T337" t="n">
        <v>0</v>
      </c>
    </row>
    <row r="338">
      <c r="A338" t="inlineStr">
        <is>
          <t>summary_policy_spatial</t>
        </is>
      </c>
      <c r="B338" t="n">
        <v>24</v>
      </c>
      <c r="C338" t="inlineStr">
        <is>
          <t>T</t>
        </is>
      </c>
      <c r="D338" t="n">
        <v>14</v>
      </c>
      <c r="E338" t="n">
        <v>33</v>
      </c>
      <c r="F338" t="n">
        <v>196</v>
      </c>
      <c r="G338" t="n">
        <v>38</v>
      </c>
      <c r="H338" t="inlineStr">
        <is>
          <t>custom</t>
        </is>
      </c>
      <c r="I338" t="n">
        <v>12</v>
      </c>
      <c r="J338" t="n">
        <v>0</v>
      </c>
      <c r="K338" t="n">
        <v>0</v>
      </c>
      <c r="L338" t="n">
        <v>0</v>
      </c>
      <c r="N338" t="inlineStr">
        <is>
          <t>FFFFFF</t>
        </is>
      </c>
      <c r="O338" t="inlineStr">
        <is>
          <t>L</t>
        </is>
      </c>
      <c r="Q338" t="n">
        <v>2</v>
      </c>
      <c r="R338" t="b">
        <v>1</v>
      </c>
      <c r="T338" t="n">
        <v>0</v>
      </c>
    </row>
    <row r="339">
      <c r="A339" t="inlineStr">
        <is>
          <t>line1</t>
        </is>
      </c>
      <c r="B339" t="n">
        <v>24</v>
      </c>
      <c r="C339" t="inlineStr">
        <is>
          <t>L</t>
        </is>
      </c>
      <c r="D339" t="n">
        <v>14</v>
      </c>
      <c r="E339" t="n">
        <v>200</v>
      </c>
      <c r="F339" t="n">
        <v>196</v>
      </c>
      <c r="G339" t="n">
        <v>200</v>
      </c>
      <c r="I339" t="n">
        <v>0</v>
      </c>
      <c r="J339" t="n">
        <v>0</v>
      </c>
      <c r="K339" t="n">
        <v>0</v>
      </c>
      <c r="L339" t="n">
        <v>0</v>
      </c>
      <c r="N339" t="inlineStr">
        <is>
          <t>FFFFFF</t>
        </is>
      </c>
      <c r="O339" t="inlineStr">
        <is>
          <t>L</t>
        </is>
      </c>
      <c r="Q339" t="n">
        <v>2</v>
      </c>
      <c r="R339" t="b">
        <v>0</v>
      </c>
      <c r="S339" t="inlineStr">
        <is>
          <t xml:space="preserve"> </t>
        </is>
      </c>
      <c r="T339" t="n">
        <v>0</v>
      </c>
    </row>
    <row r="340">
      <c r="A340" t="inlineStr">
        <is>
          <t>citation_word</t>
        </is>
      </c>
      <c r="B340" t="n">
        <v>24</v>
      </c>
      <c r="C340" t="inlineStr">
        <is>
          <t>T</t>
        </is>
      </c>
      <c r="D340" t="n">
        <v>14</v>
      </c>
      <c r="E340" t="n">
        <v>208</v>
      </c>
      <c r="F340" t="n">
        <v>196</v>
      </c>
      <c r="G340" t="n">
        <v>212</v>
      </c>
      <c r="H340" t="inlineStr">
        <is>
          <t>custom</t>
        </is>
      </c>
      <c r="I340" t="n">
        <v>12</v>
      </c>
      <c r="J340" t="n">
        <v>1</v>
      </c>
      <c r="K340" t="n">
        <v>0</v>
      </c>
      <c r="L340" t="n">
        <v>0</v>
      </c>
      <c r="N340" t="inlineStr">
        <is>
          <t>FFFFFF</t>
        </is>
      </c>
      <c r="O340" t="inlineStr">
        <is>
          <t>L</t>
        </is>
      </c>
      <c r="P340" s="1" t="n"/>
      <c r="Q340" t="n">
        <v>2</v>
      </c>
      <c r="R340" t="b">
        <v>1</v>
      </c>
      <c r="S340" t="inlineStr">
        <is>
          <t xml:space="preserve"> </t>
        </is>
      </c>
      <c r="T340" t="n">
        <v>0</v>
      </c>
    </row>
    <row r="341">
      <c r="A341" t="inlineStr">
        <is>
          <t>citation_doi</t>
        </is>
      </c>
      <c r="B341" t="n">
        <v>24</v>
      </c>
      <c r="C341" t="inlineStr">
        <is>
          <t>T</t>
        </is>
      </c>
      <c r="D341" t="n">
        <v>14</v>
      </c>
      <c r="E341" t="n">
        <v>214</v>
      </c>
      <c r="F341" t="n">
        <v>196</v>
      </c>
      <c r="G341" t="n">
        <v>218</v>
      </c>
      <c r="H341" t="inlineStr">
        <is>
          <t>custom</t>
        </is>
      </c>
      <c r="I341" t="n">
        <v>10</v>
      </c>
      <c r="J341" t="n">
        <v>0</v>
      </c>
      <c r="K341" t="n">
        <v>0</v>
      </c>
      <c r="L341" t="n">
        <v>0</v>
      </c>
      <c r="N341" t="inlineStr">
        <is>
          <t>FFFFFF</t>
        </is>
      </c>
      <c r="O341" t="inlineStr">
        <is>
          <t>L</t>
        </is>
      </c>
      <c r="P341" s="1" t="n"/>
      <c r="Q341" t="n">
        <v>2</v>
      </c>
      <c r="R341" t="b">
        <v>1</v>
      </c>
      <c r="S341" t="inlineStr">
        <is>
          <t xml:space="preserve"> </t>
        </is>
      </c>
      <c r="T341" t="n">
        <v>0</v>
      </c>
    </row>
    <row r="342" ht="15" customHeight="1">
      <c r="A342" t="inlineStr">
        <is>
          <t>cc</t>
        </is>
      </c>
      <c r="B342" t="n">
        <v>24</v>
      </c>
      <c r="C342" t="inlineStr">
        <is>
          <t>I</t>
        </is>
      </c>
      <c r="D342" t="n">
        <v>14</v>
      </c>
      <c r="E342" t="n">
        <v>248</v>
      </c>
      <c r="F342" t="n">
        <v>24</v>
      </c>
      <c r="G342" t="n">
        <v>258</v>
      </c>
      <c r="I342" t="n">
        <v>12</v>
      </c>
      <c r="J342" t="n">
        <v>0</v>
      </c>
      <c r="K342" t="n">
        <v>0</v>
      </c>
      <c r="L342" t="n">
        <v>0</v>
      </c>
      <c r="M342" t="inlineStr">
        <is>
          <t>CCCCCCC</t>
        </is>
      </c>
      <c r="N342" t="inlineStr">
        <is>
          <t>CCCCCC</t>
        </is>
      </c>
      <c r="O342" t="inlineStr">
        <is>
          <t>L</t>
        </is>
      </c>
      <c r="P342" s="5" t="inlineStr">
        <is>
          <t>configuration/assets/cc.svg</t>
        </is>
      </c>
      <c r="Q342" t="n">
        <v>2</v>
      </c>
      <c r="R342" t="b">
        <v>1</v>
      </c>
      <c r="T342" t="n">
        <v>0</v>
      </c>
    </row>
    <row r="343" ht="15" customHeight="1">
      <c r="A343" t="inlineStr">
        <is>
          <t>by</t>
        </is>
      </c>
      <c r="B343" t="n">
        <v>24</v>
      </c>
      <c r="C343" t="inlineStr">
        <is>
          <t>I</t>
        </is>
      </c>
      <c r="D343" t="n">
        <v>26</v>
      </c>
      <c r="E343" t="n">
        <v>248</v>
      </c>
      <c r="F343" t="n">
        <v>36</v>
      </c>
      <c r="G343" t="n">
        <v>258</v>
      </c>
      <c r="I343" t="n">
        <v>12</v>
      </c>
      <c r="J343" t="n">
        <v>0</v>
      </c>
      <c r="K343" t="n">
        <v>0</v>
      </c>
      <c r="L343" t="n">
        <v>0</v>
      </c>
      <c r="M343" t="inlineStr">
        <is>
          <t>CCCCCCC</t>
        </is>
      </c>
      <c r="N343" t="inlineStr">
        <is>
          <t>CCCCCC</t>
        </is>
      </c>
      <c r="O343" t="inlineStr">
        <is>
          <t>L</t>
        </is>
      </c>
      <c r="P343" s="5" t="inlineStr">
        <is>
          <t>configuration/assets/by.svg</t>
        </is>
      </c>
      <c r="Q343" t="n">
        <v>2</v>
      </c>
      <c r="R343" t="b">
        <v>1</v>
      </c>
      <c r="T343" t="n">
        <v>0</v>
      </c>
    </row>
    <row r="344" ht="15" customHeight="1">
      <c r="A344" t="inlineStr">
        <is>
          <t>nc</t>
        </is>
      </c>
      <c r="B344" t="n">
        <v>24</v>
      </c>
      <c r="C344" t="inlineStr">
        <is>
          <t>I</t>
        </is>
      </c>
      <c r="D344" t="n">
        <v>38</v>
      </c>
      <c r="E344" t="n">
        <v>248</v>
      </c>
      <c r="F344" t="n">
        <v>48</v>
      </c>
      <c r="G344" t="n">
        <v>258</v>
      </c>
      <c r="I344" t="n">
        <v>12</v>
      </c>
      <c r="J344" t="n">
        <v>0</v>
      </c>
      <c r="K344" t="n">
        <v>0</v>
      </c>
      <c r="L344" t="n">
        <v>0</v>
      </c>
      <c r="M344" t="inlineStr">
        <is>
          <t>CCCCCCC</t>
        </is>
      </c>
      <c r="N344" t="inlineStr">
        <is>
          <t>CCCCCC</t>
        </is>
      </c>
      <c r="O344" t="inlineStr">
        <is>
          <t>L</t>
        </is>
      </c>
      <c r="P344" s="5" t="inlineStr">
        <is>
          <t>configuration/assets/nc.svg</t>
        </is>
      </c>
      <c r="Q344" t="n">
        <v>2</v>
      </c>
      <c r="R344" t="b">
        <v>1</v>
      </c>
      <c r="T344" t="n">
        <v>0</v>
      </c>
    </row>
    <row r="345" ht="18" customHeight="1">
      <c r="A345" t="inlineStr">
        <is>
          <t>licence_url</t>
        </is>
      </c>
      <c r="B345" t="n">
        <v>24</v>
      </c>
      <c r="C345" t="inlineStr">
        <is>
          <t>W</t>
        </is>
      </c>
      <c r="D345" t="n">
        <v>14</v>
      </c>
      <c r="E345" t="n">
        <v>263</v>
      </c>
      <c r="F345" t="n">
        <v>196</v>
      </c>
      <c r="G345" t="n">
        <v>266</v>
      </c>
      <c r="H345" t="inlineStr">
        <is>
          <t>custom</t>
        </is>
      </c>
      <c r="I345" t="n">
        <v>10</v>
      </c>
      <c r="J345" t="n">
        <v>0</v>
      </c>
      <c r="K345" t="n">
        <v>0</v>
      </c>
      <c r="L345" t="n">
        <v>0</v>
      </c>
      <c r="N345" t="inlineStr">
        <is>
          <t>FFFFFF</t>
        </is>
      </c>
      <c r="O345" t="inlineStr">
        <is>
          <t>L</t>
        </is>
      </c>
      <c r="P345" s="5" t="inlineStr">
        <is>
          <t>This work is licenced under a Creative Commons CC BY-NC Attribution-NonCommercial 4.0 International License.</t>
        </is>
      </c>
      <c r="Q345" t="n">
        <v>2</v>
      </c>
      <c r="R345" t="b">
        <v>1</v>
      </c>
      <c r="S345" t="inlineStr">
        <is>
          <t>https://creativecommons.org/licenses/by-nc/4.0/</t>
        </is>
      </c>
      <c r="T345" t="n">
        <v>0</v>
      </c>
    </row>
    <row r="346">
      <c r="A346" t="inlineStr">
        <is>
          <t>line1</t>
        </is>
      </c>
      <c r="B346" t="n">
        <v>24</v>
      </c>
      <c r="C346" t="inlineStr">
        <is>
          <t>L</t>
        </is>
      </c>
      <c r="D346" t="n">
        <v>14</v>
      </c>
      <c r="E346" t="n">
        <v>274</v>
      </c>
      <c r="F346" t="n">
        <v>196</v>
      </c>
      <c r="G346" t="n">
        <v>274</v>
      </c>
      <c r="I346" t="n">
        <v>0</v>
      </c>
      <c r="J346" t="n">
        <v>0</v>
      </c>
      <c r="K346" t="n">
        <v>0</v>
      </c>
      <c r="L346" t="n">
        <v>0</v>
      </c>
      <c r="N346" t="inlineStr">
        <is>
          <t>FFFFFF</t>
        </is>
      </c>
      <c r="O346" t="inlineStr">
        <is>
          <t>L</t>
        </is>
      </c>
      <c r="Q346" t="n">
        <v>2</v>
      </c>
      <c r="R346" t="b">
        <v>0</v>
      </c>
      <c r="S346" t="inlineStr">
        <is>
          <t xml:space="preserve"> </t>
        </is>
      </c>
      <c r="T346" t="n">
        <v>0</v>
      </c>
    </row>
  </sheetData>
  <autoFilter ref="A1:T1"/>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T225"/>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c6d3cc</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xml:space="preserve">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xml:space="preserve">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xml:space="preserve">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xml:space="preserve">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xml:space="preserve">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xml:space="preserve">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xml:space="preserve">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xml:space="preserve">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xml:space="preserve">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xml:space="preserve">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xml:space="preserve">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xml:space="preserve">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xml:space="preserve">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xml:space="preserve">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xml:space="preserve">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xml:space="preserve">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xml:space="preserve">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xml:space="preserve">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xml:space="preserve">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xml:space="preserve">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xml:space="preserve">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xml:space="preserve">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xml:space="preserve">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xml:space="preserve">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xml:space="preserve">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xml:space="preserve">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xml:space="preserve">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xml:space="preserve">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xml:space="preserve">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xml:space="preserve">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xml:space="preserve">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xml:space="preserve">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xml:space="preserve">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xml:space="preserve">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xml:space="preserve">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xml:space="preserve">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xml:space="preserve">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xml:space="preserve">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xml:space="preserve">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xml:space="preserve">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xml:space="preserve">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xml:space="preserve">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xml:space="preserve">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xml:space="preserve">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xml:space="preserve">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xml:space="preserve">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xml:space="preserve">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xml:space="preserve">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xml:space="preserve">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xml:space="preserve">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xml:space="preserve">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xml:space="preserve">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xml:space="preserve">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xml:space="preserve">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xml:space="preserve">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xml:space="preserve">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xml:space="preserve">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xml:space="preserve">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xml:space="preserve">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xml:space="preserve">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xml:space="preserve">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xml:space="preserve">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xml:space="preserve"> </t>
        </is>
      </c>
      <c r="T106" t="n">
        <v>0</v>
      </c>
    </row>
    <row r="107">
      <c r="A107" t="inlineStr">
        <is>
          <t>pct_access_400m_pt.jpg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xml:space="preserve"> </t>
        </is>
      </c>
      <c r="T107" t="n">
        <v>0</v>
      </c>
    </row>
    <row r="108">
      <c r="A108" t="inlineStr">
        <is>
          <t>pct_access_400m_pt_label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xml:space="preserve">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xml:space="preserve">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xml:space="preserve"> </t>
        </is>
      </c>
      <c r="T110" t="n">
        <v>0</v>
      </c>
    </row>
    <row r="111">
      <c r="A111" t="inlineStr">
        <is>
          <t>pct_access_400m_public_open_space_large_score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xml:space="preserve"> </t>
        </is>
      </c>
      <c r="T111" t="n">
        <v>0</v>
      </c>
    </row>
    <row r="112">
      <c r="A112" t="inlineStr">
        <is>
          <t>pct_access_400m_public_open_space_large_score_label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xml:space="preserve"> </t>
        </is>
      </c>
      <c r="T112" t="n">
        <v>0</v>
      </c>
    </row>
    <row r="113">
      <c r="A113" t="inlineStr">
        <is>
          <t>Urban air quality, and nature-based solutions</t>
        </is>
      </c>
      <c r="B113" t="n">
        <v>12</v>
      </c>
      <c r="C113" t="inlineStr">
        <is>
          <t>T</t>
        </is>
      </c>
      <c r="D113" t="n">
        <v>14</v>
      </c>
      <c r="E113" t="n">
        <v>20</v>
      </c>
      <c r="F113" t="n">
        <v>196</v>
      </c>
      <c r="G113">
        <f>E113+5</f>
        <v/>
      </c>
      <c r="H113" t="inlineStr">
        <is>
          <t>custom</t>
        </is>
      </c>
      <c r="I113" t="n">
        <v>14</v>
      </c>
      <c r="J113" t="n">
        <v>1</v>
      </c>
      <c r="K113" t="n">
        <v>0</v>
      </c>
      <c r="L113" t="n">
        <v>0</v>
      </c>
      <c r="N113" t="inlineStr">
        <is>
          <t>FFFFFF</t>
        </is>
      </c>
      <c r="O113" t="inlineStr">
        <is>
          <t>L</t>
        </is>
      </c>
      <c r="Q113" t="n">
        <v>2</v>
      </c>
      <c r="R113" t="b">
        <v>1</v>
      </c>
      <c r="S113" t="inlineStr">
        <is>
          <t xml:space="preserve"> </t>
        </is>
      </c>
      <c r="T113" t="n">
        <v>0</v>
      </c>
    </row>
    <row r="114">
      <c r="A114" t="inlineStr">
        <is>
          <t>Climate resilient cities policies description</t>
        </is>
      </c>
      <c r="B114" t="n">
        <v>12</v>
      </c>
      <c r="C114" t="inlineStr">
        <is>
          <t>T</t>
        </is>
      </c>
      <c r="D114" t="n">
        <v>14</v>
      </c>
      <c r="E114">
        <f>G113+8</f>
        <v/>
      </c>
      <c r="F114" t="n">
        <v>196</v>
      </c>
      <c r="G114">
        <f>E114+5</f>
        <v/>
      </c>
      <c r="H114" t="inlineStr">
        <is>
          <t>custom</t>
        </is>
      </c>
      <c r="I114" t="n">
        <v>12</v>
      </c>
      <c r="J114" t="n">
        <v>0</v>
      </c>
      <c r="K114" t="n">
        <v>0</v>
      </c>
      <c r="L114" t="n">
        <v>0</v>
      </c>
      <c r="N114" t="inlineStr">
        <is>
          <t>FFFFFF</t>
        </is>
      </c>
      <c r="O114" t="inlineStr">
        <is>
          <t>L</t>
        </is>
      </c>
      <c r="Q114" t="n">
        <v>2</v>
      </c>
      <c r="R114" t="b">
        <v>1</v>
      </c>
      <c r="T114" t="n">
        <v>0</v>
      </c>
    </row>
    <row r="115">
      <c r="A115" t="inlineStr">
        <is>
          <t>green_space_header</t>
        </is>
      </c>
      <c r="B115" t="n">
        <v>12</v>
      </c>
      <c r="C115" t="inlineStr">
        <is>
          <t>T</t>
        </is>
      </c>
      <c r="D115" t="n">
        <v>14</v>
      </c>
      <c r="E115">
        <f>E116-10</f>
        <v/>
      </c>
      <c r="F115" t="n">
        <v>180</v>
      </c>
      <c r="G115">
        <f>E115+5</f>
        <v/>
      </c>
      <c r="H115" t="inlineStr">
        <is>
          <t>custom</t>
        </is>
      </c>
      <c r="I115" t="n">
        <v>12</v>
      </c>
      <c r="J115" t="n">
        <v>1</v>
      </c>
      <c r="K115" t="n">
        <v>0</v>
      </c>
      <c r="L115" t="n">
        <v>0</v>
      </c>
      <c r="N115" t="inlineStr">
        <is>
          <t>FFFFFF</t>
        </is>
      </c>
      <c r="O115" t="inlineStr">
        <is>
          <t>L</t>
        </is>
      </c>
      <c r="Q115" t="n">
        <v>3</v>
      </c>
      <c r="R115" t="b">
        <v>0</v>
      </c>
      <c r="S115" t="inlineStr">
        <is>
          <t xml:space="preserve"> </t>
        </is>
      </c>
      <c r="T115" t="n">
        <v>0</v>
      </c>
    </row>
    <row r="116">
      <c r="A116" t="inlineStr">
        <is>
          <t>overall_greenery</t>
        </is>
      </c>
      <c r="B116" t="n">
        <v>12</v>
      </c>
      <c r="C116" t="inlineStr">
        <is>
          <t>I</t>
        </is>
      </c>
      <c r="D116" t="n">
        <v>14</v>
      </c>
      <c r="E116" t="n">
        <v>80</v>
      </c>
      <c r="F116" t="n">
        <v>196</v>
      </c>
      <c r="G116">
        <f>INT(E116+(F116-D116)/11*10)</f>
        <v/>
      </c>
      <c r="I116" t="n">
        <v>0</v>
      </c>
      <c r="J116" t="n">
        <v>0</v>
      </c>
      <c r="K116" t="n">
        <v>0</v>
      </c>
      <c r="L116" t="n">
        <v>0</v>
      </c>
      <c r="N116" t="inlineStr">
        <is>
          <t>FFFFFF</t>
        </is>
      </c>
      <c r="O116" t="inlineStr">
        <is>
          <t>L</t>
        </is>
      </c>
      <c r="Q116" t="n">
        <v>2</v>
      </c>
      <c r="R116" t="b">
        <v>0</v>
      </c>
      <c r="S116" t="inlineStr">
        <is>
          <t xml:space="preserve"> </t>
        </is>
      </c>
      <c r="T116" t="n">
        <v>0</v>
      </c>
    </row>
    <row r="117">
      <c r="A117" t="inlineStr">
        <is>
          <t>overall_greenery_label</t>
        </is>
      </c>
      <c r="B117" t="n">
        <v>12</v>
      </c>
      <c r="C117" t="inlineStr">
        <is>
          <t>T</t>
        </is>
      </c>
      <c r="D117" t="n">
        <v>30</v>
      </c>
      <c r="E117">
        <f>G116+8</f>
        <v/>
      </c>
      <c r="F117" t="n">
        <v>180</v>
      </c>
      <c r="G117">
        <f>E117+8</f>
        <v/>
      </c>
      <c r="H117" t="inlineStr">
        <is>
          <t>custom</t>
        </is>
      </c>
      <c r="I117" t="n">
        <v>16</v>
      </c>
      <c r="J117" t="n">
        <v>0</v>
      </c>
      <c r="K117" t="n">
        <v>0</v>
      </c>
      <c r="L117" t="n">
        <v>0</v>
      </c>
      <c r="M117" t="inlineStr">
        <is>
          <t>584b9f</t>
        </is>
      </c>
      <c r="N117" t="inlineStr">
        <is>
          <t>FFFFFF</t>
        </is>
      </c>
      <c r="O117" t="inlineStr">
        <is>
          <t>C</t>
        </is>
      </c>
      <c r="Q117" t="n">
        <v>2</v>
      </c>
      <c r="R117" t="b">
        <v>1</v>
      </c>
      <c r="S117" t="inlineStr">
        <is>
          <t xml:space="preserve"> </t>
        </is>
      </c>
      <c r="T117" t="n">
        <v>0</v>
      </c>
    </row>
    <row r="118">
      <c r="A118" t="inlineStr">
        <is>
          <t>pugs_header</t>
        </is>
      </c>
      <c r="B118" t="n">
        <v>13</v>
      </c>
      <c r="C118" t="inlineStr">
        <is>
          <t>T</t>
        </is>
      </c>
      <c r="D118" t="n">
        <v>14</v>
      </c>
      <c r="E118" t="n">
        <v>20</v>
      </c>
      <c r="F118" t="n">
        <v>180</v>
      </c>
      <c r="G118">
        <f>E118+5</f>
        <v/>
      </c>
      <c r="H118" t="inlineStr">
        <is>
          <t>custom</t>
        </is>
      </c>
      <c r="I118" t="n">
        <v>12</v>
      </c>
      <c r="J118" t="n">
        <v>1</v>
      </c>
      <c r="K118" t="n">
        <v>0</v>
      </c>
      <c r="L118" t="n">
        <v>0</v>
      </c>
      <c r="N118" t="inlineStr">
        <is>
          <t>FFFFFF</t>
        </is>
      </c>
      <c r="O118" t="inlineStr">
        <is>
          <t>L</t>
        </is>
      </c>
      <c r="Q118" t="n">
        <v>3</v>
      </c>
      <c r="R118" t="b">
        <v>0</v>
      </c>
      <c r="S118" t="inlineStr">
        <is>
          <t xml:space="preserve"> </t>
        </is>
      </c>
      <c r="T118" t="n">
        <v>0</v>
      </c>
    </row>
    <row r="119">
      <c r="A119" t="inlineStr">
        <is>
          <t>green_space_accessibility</t>
        </is>
      </c>
      <c r="B119" t="n">
        <v>13</v>
      </c>
      <c r="C119" t="inlineStr">
        <is>
          <t>I</t>
        </is>
      </c>
      <c r="D119" t="n">
        <v>14</v>
      </c>
      <c r="E119" t="n">
        <v>60</v>
      </c>
      <c r="F119" t="n">
        <v>196</v>
      </c>
      <c r="G119">
        <f>INT(E119+(F119-D119)/11*10)</f>
        <v/>
      </c>
      <c r="I119" t="n">
        <v>0</v>
      </c>
      <c r="J119" t="n">
        <v>0</v>
      </c>
      <c r="K119" t="n">
        <v>0</v>
      </c>
      <c r="L119" t="n">
        <v>0</v>
      </c>
      <c r="N119" t="inlineStr">
        <is>
          <t>FFFFFF</t>
        </is>
      </c>
      <c r="O119" t="inlineStr">
        <is>
          <t>L</t>
        </is>
      </c>
      <c r="Q119" t="n">
        <v>2</v>
      </c>
      <c r="R119" t="b">
        <v>0</v>
      </c>
      <c r="S119" t="inlineStr">
        <is>
          <t xml:space="preserve"> </t>
        </is>
      </c>
      <c r="T119" t="n">
        <v>0</v>
      </c>
    </row>
    <row r="120">
      <c r="A120" t="inlineStr">
        <is>
          <t>green_space_accessibility_label</t>
        </is>
      </c>
      <c r="B120" t="n">
        <v>13</v>
      </c>
      <c r="C120" t="inlineStr">
        <is>
          <t>T</t>
        </is>
      </c>
      <c r="D120" t="n">
        <v>30</v>
      </c>
      <c r="E120">
        <f>G119+8</f>
        <v/>
      </c>
      <c r="F120" t="n">
        <v>180</v>
      </c>
      <c r="G120">
        <f>E120+8</f>
        <v/>
      </c>
      <c r="H120" t="inlineStr">
        <is>
          <t>custom</t>
        </is>
      </c>
      <c r="I120" t="n">
        <v>16</v>
      </c>
      <c r="J120" t="n">
        <v>0</v>
      </c>
      <c r="K120" t="n">
        <v>0</v>
      </c>
      <c r="L120" t="n">
        <v>0</v>
      </c>
      <c r="M120" t="inlineStr">
        <is>
          <t>584b9f</t>
        </is>
      </c>
      <c r="N120" t="inlineStr">
        <is>
          <t>FFFFFF</t>
        </is>
      </c>
      <c r="O120" t="inlineStr">
        <is>
          <t>C</t>
        </is>
      </c>
      <c r="Q120" t="n">
        <v>2</v>
      </c>
      <c r="R120" t="b">
        <v>1</v>
      </c>
      <c r="S120" t="inlineStr">
        <is>
          <t xml:space="preserve"> </t>
        </is>
      </c>
      <c r="T120" t="n">
        <v>0</v>
      </c>
    </row>
    <row r="121">
      <c r="A121" t="inlineStr">
        <is>
          <t>Climate disaster risk reduction</t>
        </is>
      </c>
      <c r="B121" t="n">
        <v>14</v>
      </c>
      <c r="C121" t="inlineStr">
        <is>
          <t>T</t>
        </is>
      </c>
      <c r="D121" t="n">
        <v>14</v>
      </c>
      <c r="E121" t="n">
        <v>20</v>
      </c>
      <c r="F121" t="n">
        <v>196</v>
      </c>
      <c r="G121">
        <f>E121+5</f>
        <v/>
      </c>
      <c r="H121" t="inlineStr">
        <is>
          <t>custom</t>
        </is>
      </c>
      <c r="I121" t="n">
        <v>14</v>
      </c>
      <c r="J121" t="n">
        <v>1</v>
      </c>
      <c r="K121" t="n">
        <v>0</v>
      </c>
      <c r="L121" t="n">
        <v>0</v>
      </c>
      <c r="N121" t="inlineStr">
        <is>
          <t>FFFFFF</t>
        </is>
      </c>
      <c r="O121" t="inlineStr">
        <is>
          <t>L</t>
        </is>
      </c>
      <c r="Q121" t="n">
        <v>2</v>
      </c>
      <c r="R121" t="b">
        <v>1</v>
      </c>
      <c r="S121" t="inlineStr">
        <is>
          <t xml:space="preserve"> </t>
        </is>
      </c>
      <c r="T121" t="n">
        <v>0</v>
      </c>
    </row>
    <row r="122">
      <c r="A122" t="inlineStr">
        <is>
          <t>Climate disaster risk reduction description</t>
        </is>
      </c>
      <c r="B122" t="n">
        <v>14</v>
      </c>
      <c r="C122" t="inlineStr">
        <is>
          <t>T</t>
        </is>
      </c>
      <c r="D122" t="n">
        <v>14</v>
      </c>
      <c r="E122">
        <f>G121+8</f>
        <v/>
      </c>
      <c r="F122" t="n">
        <v>196</v>
      </c>
      <c r="G122">
        <f>E122+5</f>
        <v/>
      </c>
      <c r="H122" t="inlineStr">
        <is>
          <t>custom</t>
        </is>
      </c>
      <c r="I122" t="n">
        <v>12</v>
      </c>
      <c r="J122" t="n">
        <v>0</v>
      </c>
      <c r="K122" t="n">
        <v>0</v>
      </c>
      <c r="L122" t="n">
        <v>0</v>
      </c>
      <c r="N122" t="inlineStr">
        <is>
          <t>FFFFFF</t>
        </is>
      </c>
      <c r="O122" t="inlineStr">
        <is>
          <t>L</t>
        </is>
      </c>
      <c r="Q122" t="n">
        <v>2</v>
      </c>
      <c r="R122" t="b">
        <v>1</v>
      </c>
      <c r="T122" t="n">
        <v>0</v>
      </c>
    </row>
    <row r="123">
      <c r="A123" t="inlineStr">
        <is>
          <t>urban_heat_exposure_header</t>
        </is>
      </c>
      <c r="B123" t="n">
        <v>14</v>
      </c>
      <c r="C123" t="inlineStr">
        <is>
          <t>T</t>
        </is>
      </c>
      <c r="D123" t="n">
        <v>14</v>
      </c>
      <c r="E123">
        <f>E124-10</f>
        <v/>
      </c>
      <c r="F123" t="n">
        <v>180</v>
      </c>
      <c r="G123">
        <f>E123+5</f>
        <v/>
      </c>
      <c r="H123" t="inlineStr">
        <is>
          <t>custom</t>
        </is>
      </c>
      <c r="I123" t="n">
        <v>12</v>
      </c>
      <c r="J123" t="n">
        <v>1</v>
      </c>
      <c r="K123" t="n">
        <v>0</v>
      </c>
      <c r="L123" t="n">
        <v>0</v>
      </c>
      <c r="N123" t="inlineStr">
        <is>
          <t>FFFFFF</t>
        </is>
      </c>
      <c r="O123" t="inlineStr">
        <is>
          <t>L</t>
        </is>
      </c>
      <c r="Q123" t="n">
        <v>3</v>
      </c>
      <c r="R123" t="b">
        <v>0</v>
      </c>
      <c r="S123" t="inlineStr">
        <is>
          <t xml:space="preserve"> </t>
        </is>
      </c>
      <c r="T123" t="n">
        <v>0</v>
      </c>
    </row>
    <row r="124">
      <c r="A124" t="inlineStr">
        <is>
          <t>land_surface_temperature</t>
        </is>
      </c>
      <c r="B124" t="n">
        <v>14</v>
      </c>
      <c r="C124" t="inlineStr">
        <is>
          <t>I</t>
        </is>
      </c>
      <c r="D124" t="n">
        <v>14</v>
      </c>
      <c r="E124" t="n">
        <v>80</v>
      </c>
      <c r="F124" t="n">
        <v>196</v>
      </c>
      <c r="G124">
        <f>INT(E124+(F124-D124)/11*10)</f>
        <v/>
      </c>
      <c r="I124" t="n">
        <v>0</v>
      </c>
      <c r="J124" t="n">
        <v>0</v>
      </c>
      <c r="K124" t="n">
        <v>0</v>
      </c>
      <c r="L124" t="n">
        <v>0</v>
      </c>
      <c r="N124" t="inlineStr">
        <is>
          <t>FFFFFF</t>
        </is>
      </c>
      <c r="O124" t="inlineStr">
        <is>
          <t>L</t>
        </is>
      </c>
      <c r="Q124" t="n">
        <v>2</v>
      </c>
      <c r="R124" t="b">
        <v>0</v>
      </c>
      <c r="S124" t="inlineStr">
        <is>
          <t xml:space="preserve"> </t>
        </is>
      </c>
      <c r="T124" t="n">
        <v>0</v>
      </c>
    </row>
    <row r="125">
      <c r="A125" t="inlineStr">
        <is>
          <t>land_surface_temperature_label</t>
        </is>
      </c>
      <c r="B125" t="n">
        <v>14</v>
      </c>
      <c r="C125" t="inlineStr">
        <is>
          <t>T</t>
        </is>
      </c>
      <c r="D125" t="n">
        <v>14</v>
      </c>
      <c r="E125">
        <f>G124+8</f>
        <v/>
      </c>
      <c r="F125" t="n">
        <v>196</v>
      </c>
      <c r="G125">
        <f>E125+8</f>
        <v/>
      </c>
      <c r="H125" t="inlineStr">
        <is>
          <t>custom</t>
        </is>
      </c>
      <c r="I125" t="n">
        <v>16</v>
      </c>
      <c r="J125" t="n">
        <v>0</v>
      </c>
      <c r="K125" t="n">
        <v>0</v>
      </c>
      <c r="L125" t="n">
        <v>0</v>
      </c>
      <c r="M125" t="inlineStr">
        <is>
          <t>584b9f</t>
        </is>
      </c>
      <c r="N125" t="inlineStr">
        <is>
          <t>FFFFFF</t>
        </is>
      </c>
      <c r="O125" t="inlineStr">
        <is>
          <t>C</t>
        </is>
      </c>
      <c r="Q125" t="n">
        <v>2</v>
      </c>
      <c r="R125" t="b">
        <v>1</v>
      </c>
      <c r="S125" t="inlineStr">
        <is>
          <t xml:space="preserve"> </t>
        </is>
      </c>
      <c r="T125" t="n">
        <v>0</v>
      </c>
    </row>
    <row r="126">
      <c r="A126" t="inlineStr">
        <is>
          <t>guhvi_header</t>
        </is>
      </c>
      <c r="B126" t="n">
        <v>15</v>
      </c>
      <c r="C126" t="inlineStr">
        <is>
          <t>T</t>
        </is>
      </c>
      <c r="D126" t="n">
        <v>14</v>
      </c>
      <c r="E126" t="n">
        <v>20</v>
      </c>
      <c r="F126" t="n">
        <v>180</v>
      </c>
      <c r="G126">
        <f>E126+5</f>
        <v/>
      </c>
      <c r="H126" t="inlineStr">
        <is>
          <t>custom</t>
        </is>
      </c>
      <c r="I126" t="n">
        <v>12</v>
      </c>
      <c r="J126" t="n">
        <v>1</v>
      </c>
      <c r="K126" t="n">
        <v>0</v>
      </c>
      <c r="L126" t="n">
        <v>0</v>
      </c>
      <c r="N126" t="inlineStr">
        <is>
          <t>FFFFFF</t>
        </is>
      </c>
      <c r="O126" t="inlineStr">
        <is>
          <t>L</t>
        </is>
      </c>
      <c r="Q126" t="n">
        <v>3</v>
      </c>
      <c r="R126" t="b">
        <v>0</v>
      </c>
      <c r="S126" t="inlineStr">
        <is>
          <t xml:space="preserve"> </t>
        </is>
      </c>
      <c r="T126" t="n">
        <v>0</v>
      </c>
    </row>
    <row r="127">
      <c r="A127" t="inlineStr">
        <is>
          <t>guhvi_description</t>
        </is>
      </c>
      <c r="B127" t="n">
        <v>15</v>
      </c>
      <c r="C127" t="inlineStr">
        <is>
          <t>T</t>
        </is>
      </c>
      <c r="D127" t="n">
        <v>14</v>
      </c>
      <c r="E127">
        <f>G126+8</f>
        <v/>
      </c>
      <c r="F127" t="n">
        <v>196</v>
      </c>
      <c r="G127">
        <f>E127+5</f>
        <v/>
      </c>
      <c r="H127" t="inlineStr">
        <is>
          <t>custom</t>
        </is>
      </c>
      <c r="I127" t="n">
        <v>12</v>
      </c>
      <c r="J127" t="n">
        <v>0</v>
      </c>
      <c r="K127" t="n">
        <v>0</v>
      </c>
      <c r="L127" t="n">
        <v>0</v>
      </c>
      <c r="N127" t="inlineStr">
        <is>
          <t>FFFFFF</t>
        </is>
      </c>
      <c r="O127" t="inlineStr">
        <is>
          <t>L</t>
        </is>
      </c>
      <c r="P127" s="1" t="n"/>
      <c r="Q127" t="n">
        <v>2</v>
      </c>
      <c r="R127" t="b">
        <v>1</v>
      </c>
      <c r="S127" t="inlineStr">
        <is>
          <t xml:space="preserve"> </t>
        </is>
      </c>
      <c r="T127" t="n">
        <v>0</v>
      </c>
    </row>
    <row r="128">
      <c r="A128" t="inlineStr">
        <is>
          <t>global_urban_heat_vulnerability_index</t>
        </is>
      </c>
      <c r="B128" t="n">
        <v>15</v>
      </c>
      <c r="C128" t="inlineStr">
        <is>
          <t>I</t>
        </is>
      </c>
      <c r="D128" t="n">
        <v>14</v>
      </c>
      <c r="E128" t="n">
        <v>60</v>
      </c>
      <c r="F128" t="n">
        <v>196</v>
      </c>
      <c r="G128">
        <f>INT(E128+(F128-D128)/11*10)</f>
        <v/>
      </c>
      <c r="I128" t="n">
        <v>0</v>
      </c>
      <c r="J128" t="n">
        <v>0</v>
      </c>
      <c r="K128" t="n">
        <v>0</v>
      </c>
      <c r="L128" t="n">
        <v>0</v>
      </c>
      <c r="N128" t="inlineStr">
        <is>
          <t>FFFFFF</t>
        </is>
      </c>
      <c r="O128" t="inlineStr">
        <is>
          <t>L</t>
        </is>
      </c>
      <c r="Q128" t="n">
        <v>2</v>
      </c>
      <c r="R128" t="b">
        <v>0</v>
      </c>
      <c r="S128" t="inlineStr">
        <is>
          <t xml:space="preserve"> </t>
        </is>
      </c>
      <c r="T128" t="n">
        <v>0</v>
      </c>
    </row>
    <row r="129">
      <c r="A129" t="inlineStr">
        <is>
          <t>global_urban_heat_vulnerability_index_label</t>
        </is>
      </c>
      <c r="B129" t="n">
        <v>15</v>
      </c>
      <c r="C129" t="inlineStr">
        <is>
          <t>T</t>
        </is>
      </c>
      <c r="D129" t="n">
        <v>14</v>
      </c>
      <c r="E129">
        <f>G128+8</f>
        <v/>
      </c>
      <c r="F129" t="n">
        <v>196</v>
      </c>
      <c r="G129">
        <f>E129+8</f>
        <v/>
      </c>
      <c r="H129" t="inlineStr">
        <is>
          <t>custom</t>
        </is>
      </c>
      <c r="I129" t="n">
        <v>16</v>
      </c>
      <c r="J129" t="n">
        <v>0</v>
      </c>
      <c r="K129" t="n">
        <v>0</v>
      </c>
      <c r="L129" t="n">
        <v>0</v>
      </c>
      <c r="M129" t="inlineStr">
        <is>
          <t>584b9f</t>
        </is>
      </c>
      <c r="N129" t="inlineStr">
        <is>
          <t>FFFFFF</t>
        </is>
      </c>
      <c r="O129" t="inlineStr">
        <is>
          <t>C</t>
        </is>
      </c>
      <c r="Q129" t="n">
        <v>2</v>
      </c>
      <c r="R129" t="b">
        <v>1</v>
      </c>
      <c r="S129" t="inlineStr">
        <is>
          <t xml:space="preserve"> </t>
        </is>
      </c>
      <c r="T129" t="n">
        <v>0</v>
      </c>
    </row>
    <row r="130">
      <c r="A130" t="inlineStr">
        <is>
          <t>executive_summary</t>
        </is>
      </c>
      <c r="B130" t="n">
        <v>16</v>
      </c>
      <c r="C130" t="inlineStr">
        <is>
          <t>T</t>
        </is>
      </c>
      <c r="D130" t="n">
        <v>14</v>
      </c>
      <c r="E130" t="n">
        <v>20</v>
      </c>
      <c r="F130" t="n">
        <v>196</v>
      </c>
      <c r="G130">
        <f>E130+5</f>
        <v/>
      </c>
      <c r="H130" t="inlineStr">
        <is>
          <t>custom</t>
        </is>
      </c>
      <c r="I130" t="n">
        <v>14</v>
      </c>
      <c r="J130" t="n">
        <v>1</v>
      </c>
      <c r="K130" t="n">
        <v>0</v>
      </c>
      <c r="L130" t="n">
        <v>0</v>
      </c>
      <c r="N130" t="inlineStr">
        <is>
          <t>FFFFFF</t>
        </is>
      </c>
      <c r="O130" t="inlineStr">
        <is>
          <t>L</t>
        </is>
      </c>
      <c r="Q130" t="n">
        <v>2</v>
      </c>
      <c r="R130" t="b">
        <v>1</v>
      </c>
      <c r="S130" t="inlineStr">
        <is>
          <t xml:space="preserve"> </t>
        </is>
      </c>
      <c r="T130" t="n">
        <v>0</v>
      </c>
    </row>
    <row r="131">
      <c r="A131" t="inlineStr">
        <is>
          <t>summary_spatial</t>
        </is>
      </c>
      <c r="B131" t="n">
        <v>16</v>
      </c>
      <c r="C131" t="inlineStr">
        <is>
          <t>T</t>
        </is>
      </c>
      <c r="D131" t="n">
        <v>14</v>
      </c>
      <c r="E131">
        <f>G130+8</f>
        <v/>
      </c>
      <c r="F131" t="n">
        <v>196</v>
      </c>
      <c r="G131">
        <f>E131+5</f>
        <v/>
      </c>
      <c r="H131" t="inlineStr">
        <is>
          <t>custom</t>
        </is>
      </c>
      <c r="I131" t="n">
        <v>12</v>
      </c>
      <c r="J131" t="n">
        <v>0</v>
      </c>
      <c r="K131" t="n">
        <v>0</v>
      </c>
      <c r="L131" t="n">
        <v>0</v>
      </c>
      <c r="N131" t="inlineStr">
        <is>
          <t>FFFFFF</t>
        </is>
      </c>
      <c r="O131" t="inlineStr">
        <is>
          <t>L</t>
        </is>
      </c>
      <c r="Q131" t="n">
        <v>2</v>
      </c>
      <c r="R131" t="b">
        <v>1</v>
      </c>
      <c r="T131" t="n">
        <v>0</v>
      </c>
    </row>
    <row r="132">
      <c r="A132" t="inlineStr">
        <is>
          <t>line1</t>
        </is>
      </c>
      <c r="B132" t="n">
        <v>16</v>
      </c>
      <c r="C132" t="inlineStr">
        <is>
          <t>L</t>
        </is>
      </c>
      <c r="D132" t="n">
        <v>14</v>
      </c>
      <c r="E132" t="n">
        <v>200</v>
      </c>
      <c r="F132" t="n">
        <v>196</v>
      </c>
      <c r="G132">
        <f>E132</f>
        <v/>
      </c>
      <c r="I132" t="n">
        <v>0</v>
      </c>
      <c r="J132" t="n">
        <v>0</v>
      </c>
      <c r="K132" t="n">
        <v>0</v>
      </c>
      <c r="L132" t="n">
        <v>0</v>
      </c>
      <c r="N132" t="inlineStr">
        <is>
          <t>FFFFFF</t>
        </is>
      </c>
      <c r="O132" t="inlineStr">
        <is>
          <t>L</t>
        </is>
      </c>
      <c r="Q132" t="n">
        <v>2</v>
      </c>
      <c r="R132" t="b">
        <v>0</v>
      </c>
      <c r="S132" t="inlineStr">
        <is>
          <t xml:space="preserve"> </t>
        </is>
      </c>
      <c r="T132" t="n">
        <v>0</v>
      </c>
    </row>
    <row r="133">
      <c r="A133" t="inlineStr">
        <is>
          <t>citation_word</t>
        </is>
      </c>
      <c r="B133" t="n">
        <v>16</v>
      </c>
      <c r="C133" t="inlineStr">
        <is>
          <t>T</t>
        </is>
      </c>
      <c r="D133">
        <f>D132</f>
        <v/>
      </c>
      <c r="E133">
        <f>G132+8</f>
        <v/>
      </c>
      <c r="F133">
        <f>F132</f>
        <v/>
      </c>
      <c r="G133">
        <f>E133+4</f>
        <v/>
      </c>
      <c r="H133" t="inlineStr">
        <is>
          <t>custom</t>
        </is>
      </c>
      <c r="I133" t="n">
        <v>12</v>
      </c>
      <c r="J133" t="n">
        <v>1</v>
      </c>
      <c r="K133" t="n">
        <v>0</v>
      </c>
      <c r="L133" t="n">
        <v>0</v>
      </c>
      <c r="N133" t="inlineStr">
        <is>
          <t>FFFFFF</t>
        </is>
      </c>
      <c r="O133" t="inlineStr">
        <is>
          <t>L</t>
        </is>
      </c>
      <c r="P133" s="1" t="n"/>
      <c r="Q133" t="n">
        <v>2</v>
      </c>
      <c r="R133" t="b">
        <v>1</v>
      </c>
      <c r="S133" t="inlineStr">
        <is>
          <t xml:space="preserve"> </t>
        </is>
      </c>
      <c r="T133" t="n">
        <v>0</v>
      </c>
    </row>
    <row r="134">
      <c r="A134" t="inlineStr">
        <is>
          <t>citation_doi</t>
        </is>
      </c>
      <c r="B134" t="n">
        <v>16</v>
      </c>
      <c r="C134" t="inlineStr">
        <is>
          <t>T</t>
        </is>
      </c>
      <c r="D134">
        <f>D133</f>
        <v/>
      </c>
      <c r="E134">
        <f>G133+2</f>
        <v/>
      </c>
      <c r="F134">
        <f>F133</f>
        <v/>
      </c>
      <c r="G134">
        <f>E134+4</f>
        <v/>
      </c>
      <c r="H134" t="inlineStr">
        <is>
          <t>custom</t>
        </is>
      </c>
      <c r="I134" t="n">
        <v>10</v>
      </c>
      <c r="J134" t="n">
        <v>0</v>
      </c>
      <c r="K134" t="n">
        <v>0</v>
      </c>
      <c r="L134" t="n">
        <v>0</v>
      </c>
      <c r="N134" t="inlineStr">
        <is>
          <t>FFFFFF</t>
        </is>
      </c>
      <c r="O134" t="inlineStr">
        <is>
          <t>L</t>
        </is>
      </c>
      <c r="P134" s="1" t="n"/>
      <c r="Q134" t="n">
        <v>2</v>
      </c>
      <c r="R134" t="b">
        <v>1</v>
      </c>
      <c r="S134" t="inlineStr">
        <is>
          <t xml:space="preserve"> </t>
        </is>
      </c>
      <c r="T134" t="n">
        <v>0</v>
      </c>
    </row>
    <row r="135">
      <c r="A135" t="inlineStr">
        <is>
          <t>cc</t>
        </is>
      </c>
      <c r="B135" t="n">
        <v>16</v>
      </c>
      <c r="C135" t="inlineStr">
        <is>
          <t>I</t>
        </is>
      </c>
      <c r="D135">
        <f>D134</f>
        <v/>
      </c>
      <c r="E135">
        <f>G134+30</f>
        <v/>
      </c>
      <c r="F135">
        <f>D135+10</f>
        <v/>
      </c>
      <c r="G135">
        <f>E135+(F135-D135)</f>
        <v/>
      </c>
      <c r="I135" t="n">
        <v>12</v>
      </c>
      <c r="J135" t="n">
        <v>0</v>
      </c>
      <c r="K135" t="n">
        <v>0</v>
      </c>
      <c r="L135" t="n">
        <v>0</v>
      </c>
      <c r="M135" t="inlineStr">
        <is>
          <t>CCCCCCC</t>
        </is>
      </c>
      <c r="N135" t="inlineStr">
        <is>
          <t>CCCCCC</t>
        </is>
      </c>
      <c r="O135" t="inlineStr">
        <is>
          <t>L</t>
        </is>
      </c>
      <c r="P135" s="5">
        <f>"configuration/assets/"&amp;A135&amp;".svg"</f>
        <v/>
      </c>
      <c r="Q135" t="n">
        <v>2</v>
      </c>
      <c r="R135" t="b">
        <v>1</v>
      </c>
      <c r="T135" t="n">
        <v>0</v>
      </c>
    </row>
    <row r="136">
      <c r="A136" t="inlineStr">
        <is>
          <t>by</t>
        </is>
      </c>
      <c r="B136" t="n">
        <v>16</v>
      </c>
      <c r="C136" t="inlineStr">
        <is>
          <t>I</t>
        </is>
      </c>
      <c r="D136">
        <f>F135+2</f>
        <v/>
      </c>
      <c r="E136">
        <f>E135</f>
        <v/>
      </c>
      <c r="F136">
        <f>D136+10</f>
        <v/>
      </c>
      <c r="G136">
        <f>E136+(F136-D136)</f>
        <v/>
      </c>
      <c r="I136" t="n">
        <v>12</v>
      </c>
      <c r="J136" t="n">
        <v>0</v>
      </c>
      <c r="K136" t="n">
        <v>0</v>
      </c>
      <c r="L136" t="n">
        <v>0</v>
      </c>
      <c r="M136" t="inlineStr">
        <is>
          <t>CCCCCCC</t>
        </is>
      </c>
      <c r="N136" t="inlineStr">
        <is>
          <t>CCCCCC</t>
        </is>
      </c>
      <c r="O136" t="inlineStr">
        <is>
          <t>L</t>
        </is>
      </c>
      <c r="P136" s="5">
        <f>"configuration/assets/"&amp;A136&amp;".svg"</f>
        <v/>
      </c>
      <c r="Q136" t="n">
        <v>2</v>
      </c>
      <c r="R136" t="b">
        <v>1</v>
      </c>
      <c r="T136" t="n">
        <v>0</v>
      </c>
    </row>
    <row r="137">
      <c r="A137" t="inlineStr">
        <is>
          <t>nc</t>
        </is>
      </c>
      <c r="B137" t="n">
        <v>16</v>
      </c>
      <c r="C137" t="inlineStr">
        <is>
          <t>I</t>
        </is>
      </c>
      <c r="D137">
        <f>F136+2</f>
        <v/>
      </c>
      <c r="E137">
        <f>E136</f>
        <v/>
      </c>
      <c r="F137">
        <f>D137+10</f>
        <v/>
      </c>
      <c r="G137">
        <f>E137+(F137-D137)</f>
        <v/>
      </c>
      <c r="I137" t="n">
        <v>12</v>
      </c>
      <c r="J137" t="n">
        <v>0</v>
      </c>
      <c r="K137" t="n">
        <v>0</v>
      </c>
      <c r="L137" t="n">
        <v>0</v>
      </c>
      <c r="M137" t="inlineStr">
        <is>
          <t>CCCCCCC</t>
        </is>
      </c>
      <c r="N137" t="inlineStr">
        <is>
          <t>CCCCCC</t>
        </is>
      </c>
      <c r="O137" t="inlineStr">
        <is>
          <t>L</t>
        </is>
      </c>
      <c r="P137" s="5">
        <f>"configuration/assets/"&amp;A137&amp;".svg"</f>
        <v/>
      </c>
      <c r="Q137" t="n">
        <v>2</v>
      </c>
      <c r="R137" t="b">
        <v>1</v>
      </c>
      <c r="T137" t="n">
        <v>0</v>
      </c>
    </row>
    <row r="138" ht="15" customHeight="1">
      <c r="A138" t="inlineStr">
        <is>
          <t>licence_url</t>
        </is>
      </c>
      <c r="B138" t="n">
        <v>16</v>
      </c>
      <c r="C138" t="inlineStr">
        <is>
          <t>W</t>
        </is>
      </c>
      <c r="D138">
        <f>D135</f>
        <v/>
      </c>
      <c r="E138">
        <f>G135+5</f>
        <v/>
      </c>
      <c r="F138">
        <f>F134</f>
        <v/>
      </c>
      <c r="G138">
        <f>E138+3</f>
        <v/>
      </c>
      <c r="H138" t="inlineStr">
        <is>
          <t>custom</t>
        </is>
      </c>
      <c r="I138" t="n">
        <v>10</v>
      </c>
      <c r="J138" t="n">
        <v>0</v>
      </c>
      <c r="K138" t="n">
        <v>0</v>
      </c>
      <c r="L138" t="n">
        <v>0</v>
      </c>
      <c r="N138" t="inlineStr">
        <is>
          <t>FFFFFF</t>
        </is>
      </c>
      <c r="O138" t="inlineStr">
        <is>
          <t>L</t>
        </is>
      </c>
      <c r="P138" s="5" t="inlineStr">
        <is>
          <t>This work is licenced under a Creative Commons CC BY-NC Attribution-NonCommercial 4.0 International License.</t>
        </is>
      </c>
      <c r="Q138" t="n">
        <v>2</v>
      </c>
      <c r="R138" t="b">
        <v>1</v>
      </c>
      <c r="S138" t="inlineStr">
        <is>
          <t>https://creativecommons.org/licenses/by-nc/4.0/</t>
        </is>
      </c>
      <c r="T138" t="n">
        <v>0</v>
      </c>
    </row>
    <row r="139">
      <c r="A139" t="inlineStr">
        <is>
          <t>line1</t>
        </is>
      </c>
      <c r="B139" t="n">
        <v>16</v>
      </c>
      <c r="C139" t="inlineStr">
        <is>
          <t>L</t>
        </is>
      </c>
      <c r="D139">
        <f>D135</f>
        <v/>
      </c>
      <c r="E139">
        <f>G138+8</f>
        <v/>
      </c>
      <c r="F139" t="n">
        <v>196</v>
      </c>
      <c r="G139">
        <f>E139</f>
        <v/>
      </c>
      <c r="I139" t="n">
        <v>0</v>
      </c>
      <c r="J139" t="n">
        <v>0</v>
      </c>
      <c r="K139" t="n">
        <v>0</v>
      </c>
      <c r="L139" t="n">
        <v>0</v>
      </c>
      <c r="N139" t="inlineStr">
        <is>
          <t>FFFFFF</t>
        </is>
      </c>
      <c r="O139" t="inlineStr">
        <is>
          <t>L</t>
        </is>
      </c>
      <c r="Q139" t="n">
        <v>2</v>
      </c>
      <c r="R139" t="b">
        <v>0</v>
      </c>
      <c r="S139" t="inlineStr">
        <is>
          <t xml:space="preserve"> </t>
        </is>
      </c>
      <c r="T139" t="n">
        <v>0</v>
      </c>
    </row>
    <row r="140">
      <c r="A140" t="inlineStr">
        <is>
          <t>title_city</t>
        </is>
      </c>
      <c r="B140" t="n">
        <v>90</v>
      </c>
      <c r="C140" t="inlineStr">
        <is>
          <t>T</t>
        </is>
      </c>
      <c r="D140" t="n">
        <v>0</v>
      </c>
      <c r="E140" t="n">
        <v>10</v>
      </c>
      <c r="F140" t="n">
        <v>200</v>
      </c>
      <c r="G140" t="n">
        <v>13</v>
      </c>
      <c r="H140" t="inlineStr">
        <is>
          <t>custom</t>
        </is>
      </c>
      <c r="I140" t="n">
        <v>10</v>
      </c>
      <c r="J140" t="n">
        <v>1</v>
      </c>
      <c r="K140" t="n">
        <v>0</v>
      </c>
      <c r="L140" t="n">
        <v>0</v>
      </c>
      <c r="M140" t="inlineStr">
        <is>
          <t>584b9f</t>
        </is>
      </c>
      <c r="N140" t="inlineStr">
        <is>
          <t>FFFFFF</t>
        </is>
      </c>
      <c r="O140" t="inlineStr">
        <is>
          <t>R</t>
        </is>
      </c>
      <c r="Q140" t="n">
        <v>5</v>
      </c>
      <c r="R140" t="b">
        <v>0</v>
      </c>
      <c r="S140" t="inlineStr">
        <is>
          <t xml:space="preserve"> </t>
        </is>
      </c>
      <c r="T140" t="n">
        <v>0</v>
      </c>
    </row>
    <row r="141">
      <c r="A141" t="inlineStr">
        <is>
          <t>transit_health_header</t>
        </is>
      </c>
      <c r="B141" t="n">
        <v>90</v>
      </c>
      <c r="C141" t="inlineStr">
        <is>
          <t>T</t>
        </is>
      </c>
      <c r="D141" t="n">
        <v>14</v>
      </c>
      <c r="E141" t="n">
        <v>20</v>
      </c>
      <c r="F141" t="n">
        <v>196</v>
      </c>
      <c r="G141" t="n">
        <v>25</v>
      </c>
      <c r="H141" t="inlineStr">
        <is>
          <t>custom</t>
        </is>
      </c>
      <c r="I141" t="n">
        <v>14</v>
      </c>
      <c r="J141" t="n">
        <v>1</v>
      </c>
      <c r="K141" t="n">
        <v>0</v>
      </c>
      <c r="L141" t="n">
        <v>0</v>
      </c>
      <c r="N141" t="inlineStr">
        <is>
          <t>FFFFFF</t>
        </is>
      </c>
      <c r="O141" t="inlineStr">
        <is>
          <t>L</t>
        </is>
      </c>
      <c r="Q141" t="n">
        <v>2</v>
      </c>
      <c r="R141" t="b">
        <v>0</v>
      </c>
      <c r="S141" t="inlineStr">
        <is>
          <t xml:space="preserve"> </t>
        </is>
      </c>
      <c r="T141" t="n">
        <v>0</v>
      </c>
    </row>
    <row r="142">
      <c r="A142" t="inlineStr">
        <is>
          <t>transit_health_description</t>
        </is>
      </c>
      <c r="B142" t="n">
        <v>90</v>
      </c>
      <c r="C142" t="inlineStr">
        <is>
          <t>T</t>
        </is>
      </c>
      <c r="D142" t="n">
        <v>14</v>
      </c>
      <c r="E142" t="n">
        <v>33</v>
      </c>
      <c r="F142" t="n">
        <v>196</v>
      </c>
      <c r="G142" t="n">
        <v>38</v>
      </c>
      <c r="H142" t="inlineStr">
        <is>
          <t>custom</t>
        </is>
      </c>
      <c r="I142" t="n">
        <v>12</v>
      </c>
      <c r="J142" t="n">
        <v>0</v>
      </c>
      <c r="K142" t="n">
        <v>0</v>
      </c>
      <c r="L142" t="n">
        <v>0</v>
      </c>
      <c r="N142" t="inlineStr">
        <is>
          <t>FFFFFF</t>
        </is>
      </c>
      <c r="O142" t="inlineStr">
        <is>
          <t>L</t>
        </is>
      </c>
      <c r="Q142" t="n">
        <v>2</v>
      </c>
      <c r="R142" t="b">
        <v>1</v>
      </c>
      <c r="S142" t="inlineStr">
        <is>
          <t xml:space="preserve"> </t>
        </is>
      </c>
      <c r="T142" t="n">
        <v>0</v>
      </c>
    </row>
    <row r="143">
      <c r="A143" t="inlineStr">
        <is>
          <t>pct_access_400m_pt_transit_health_services_score</t>
        </is>
      </c>
      <c r="B143" t="n">
        <v>90</v>
      </c>
      <c r="C143" t="inlineStr">
        <is>
          <t>I</t>
        </is>
      </c>
      <c r="D143" t="n">
        <v>14</v>
      </c>
      <c r="E143" t="n">
        <v>80</v>
      </c>
      <c r="F143" t="n">
        <v>196</v>
      </c>
      <c r="G143" t="n">
        <v>245</v>
      </c>
      <c r="I143" t="n">
        <v>0</v>
      </c>
      <c r="J143" t="n">
        <v>0</v>
      </c>
      <c r="K143" t="n">
        <v>0</v>
      </c>
      <c r="L143" t="n">
        <v>0</v>
      </c>
      <c r="N143" t="inlineStr">
        <is>
          <t>FFFFFF</t>
        </is>
      </c>
      <c r="O143" t="inlineStr">
        <is>
          <t>L</t>
        </is>
      </c>
      <c r="Q143" t="n">
        <v>2</v>
      </c>
      <c r="R143" t="b">
        <v>0</v>
      </c>
      <c r="S143" t="inlineStr">
        <is>
          <t xml:space="preserve"> </t>
        </is>
      </c>
      <c r="T143" t="n">
        <v>0</v>
      </c>
    </row>
    <row r="144">
      <c r="A144" t="inlineStr">
        <is>
          <t>pct_access_400m_pt_transit_health_services_score_label</t>
        </is>
      </c>
      <c r="B144" t="n">
        <v>90</v>
      </c>
      <c r="C144" t="inlineStr">
        <is>
          <t>T</t>
        </is>
      </c>
      <c r="D144" t="n">
        <v>30</v>
      </c>
      <c r="E144" t="n">
        <v>253</v>
      </c>
      <c r="F144" t="n">
        <v>180</v>
      </c>
      <c r="G144" t="n">
        <v>261</v>
      </c>
      <c r="H144" t="inlineStr">
        <is>
          <t>custom</t>
        </is>
      </c>
      <c r="I144" t="n">
        <v>16</v>
      </c>
      <c r="J144" t="n">
        <v>0</v>
      </c>
      <c r="K144" t="n">
        <v>0</v>
      </c>
      <c r="L144" t="n">
        <v>0</v>
      </c>
      <c r="M144" t="inlineStr">
        <is>
          <t>584b9f</t>
        </is>
      </c>
      <c r="N144" t="inlineStr">
        <is>
          <t>FFFFFF</t>
        </is>
      </c>
      <c r="O144" t="inlineStr">
        <is>
          <t>C</t>
        </is>
      </c>
      <c r="Q144" t="n">
        <v>2</v>
      </c>
      <c r="R144" t="b">
        <v>1</v>
      </c>
      <c r="S144" t="inlineStr">
        <is>
          <t xml:space="preserve"> </t>
        </is>
      </c>
      <c r="T144" t="n">
        <v>0</v>
      </c>
    </row>
    <row r="145">
      <c r="A145" t="inlineStr">
        <is>
          <t>title_city</t>
        </is>
      </c>
      <c r="B145" t="n">
        <v>91</v>
      </c>
      <c r="C145" t="inlineStr">
        <is>
          <t>T</t>
        </is>
      </c>
      <c r="D145" t="n">
        <v>0</v>
      </c>
      <c r="E145" t="n">
        <v>10</v>
      </c>
      <c r="F145" t="n">
        <v>200</v>
      </c>
      <c r="G145" t="n">
        <v>13</v>
      </c>
      <c r="H145" t="inlineStr">
        <is>
          <t>custom</t>
        </is>
      </c>
      <c r="I145" t="n">
        <v>10</v>
      </c>
      <c r="J145" t="n">
        <v>1</v>
      </c>
      <c r="K145" t="n">
        <v>0</v>
      </c>
      <c r="L145" t="n">
        <v>0</v>
      </c>
      <c r="M145" t="inlineStr">
        <is>
          <t>584b9f</t>
        </is>
      </c>
      <c r="N145" t="inlineStr">
        <is>
          <t>FFFFFF</t>
        </is>
      </c>
      <c r="O145" t="inlineStr">
        <is>
          <t>R</t>
        </is>
      </c>
      <c r="Q145" t="n">
        <v>5</v>
      </c>
      <c r="R145" t="b">
        <v>0</v>
      </c>
      <c r="S145" t="inlineStr">
        <is>
          <t xml:space="preserve"> </t>
        </is>
      </c>
      <c r="T145" t="n">
        <v>0</v>
      </c>
    </row>
    <row r="146">
      <c r="A146" t="inlineStr">
        <is>
          <t>safe_transport_header</t>
        </is>
      </c>
      <c r="B146" t="n">
        <v>91</v>
      </c>
      <c r="C146" t="inlineStr">
        <is>
          <t>T</t>
        </is>
      </c>
      <c r="D146" t="n">
        <v>14</v>
      </c>
      <c r="E146" t="n">
        <v>20</v>
      </c>
      <c r="F146" t="n">
        <v>196</v>
      </c>
      <c r="G146" t="n">
        <v>25</v>
      </c>
      <c r="H146" t="inlineStr">
        <is>
          <t>custom</t>
        </is>
      </c>
      <c r="I146" t="n">
        <v>14</v>
      </c>
      <c r="J146" t="n">
        <v>1</v>
      </c>
      <c r="K146" t="n">
        <v>0</v>
      </c>
      <c r="L146" t="n">
        <v>0</v>
      </c>
      <c r="N146" t="inlineStr">
        <is>
          <t>FFFFFF</t>
        </is>
      </c>
      <c r="O146" t="inlineStr">
        <is>
          <t>L</t>
        </is>
      </c>
      <c r="Q146" t="n">
        <v>2</v>
      </c>
      <c r="R146" t="b">
        <v>0</v>
      </c>
      <c r="S146" t="inlineStr">
        <is>
          <t xml:space="preserve"> </t>
        </is>
      </c>
      <c r="T146" t="n">
        <v>0</v>
      </c>
    </row>
    <row r="147">
      <c r="A147" t="inlineStr">
        <is>
          <t>safe_transport_description</t>
        </is>
      </c>
      <c r="B147" t="n">
        <v>91</v>
      </c>
      <c r="C147" t="inlineStr">
        <is>
          <t>T</t>
        </is>
      </c>
      <c r="D147" t="n">
        <v>14</v>
      </c>
      <c r="E147" t="n">
        <v>33</v>
      </c>
      <c r="F147" t="n">
        <v>196</v>
      </c>
      <c r="G147" t="n">
        <v>38</v>
      </c>
      <c r="H147" t="inlineStr">
        <is>
          <t>custom</t>
        </is>
      </c>
      <c r="I147" t="n">
        <v>12</v>
      </c>
      <c r="J147" t="n">
        <v>0</v>
      </c>
      <c r="K147" t="n">
        <v>0</v>
      </c>
      <c r="L147" t="n">
        <v>0</v>
      </c>
      <c r="N147" t="inlineStr">
        <is>
          <t>FFFFFF</t>
        </is>
      </c>
      <c r="O147" t="inlineStr">
        <is>
          <t>L</t>
        </is>
      </c>
      <c r="Q147" t="n">
        <v>2</v>
      </c>
      <c r="R147" t="b">
        <v>1</v>
      </c>
      <c r="S147" t="inlineStr">
        <is>
          <t xml:space="preserve"> </t>
        </is>
      </c>
      <c r="T147" t="n">
        <v>0</v>
      </c>
    </row>
    <row r="148">
      <c r="A148" t="inlineStr">
        <is>
          <t>pct_access_400m_pt_safe_freq_20_score</t>
        </is>
      </c>
      <c r="B148" t="n">
        <v>91</v>
      </c>
      <c r="C148" t="inlineStr">
        <is>
          <t>I</t>
        </is>
      </c>
      <c r="D148" t="n">
        <v>14</v>
      </c>
      <c r="E148" t="n">
        <v>80</v>
      </c>
      <c r="F148" t="n">
        <v>196</v>
      </c>
      <c r="G148" t="n">
        <v>245</v>
      </c>
      <c r="I148" t="n">
        <v>0</v>
      </c>
      <c r="J148" t="n">
        <v>0</v>
      </c>
      <c r="K148" t="n">
        <v>0</v>
      </c>
      <c r="L148" t="n">
        <v>0</v>
      </c>
      <c r="N148" t="inlineStr">
        <is>
          <t>FFFFFF</t>
        </is>
      </c>
      <c r="O148" t="inlineStr">
        <is>
          <t>L</t>
        </is>
      </c>
      <c r="Q148" t="n">
        <v>2</v>
      </c>
      <c r="R148" t="b">
        <v>0</v>
      </c>
      <c r="S148" t="inlineStr">
        <is>
          <t xml:space="preserve"> </t>
        </is>
      </c>
      <c r="T148" t="n">
        <v>0</v>
      </c>
    </row>
    <row r="149">
      <c r="A149" t="inlineStr">
        <is>
          <t>pct_access_400m_pt_safe_freq_20_score_label</t>
        </is>
      </c>
      <c r="B149" t="n">
        <v>91</v>
      </c>
      <c r="C149" t="inlineStr">
        <is>
          <t>T</t>
        </is>
      </c>
      <c r="D149" t="n">
        <v>30</v>
      </c>
      <c r="E149" t="n">
        <v>253</v>
      </c>
      <c r="F149" t="n">
        <v>180</v>
      </c>
      <c r="G149" t="n">
        <v>261</v>
      </c>
      <c r="H149" t="inlineStr">
        <is>
          <t>custom</t>
        </is>
      </c>
      <c r="I149" t="n">
        <v>16</v>
      </c>
      <c r="J149" t="n">
        <v>0</v>
      </c>
      <c r="K149" t="n">
        <v>0</v>
      </c>
      <c r="L149" t="n">
        <v>0</v>
      </c>
      <c r="M149" t="inlineStr">
        <is>
          <t>584b9f</t>
        </is>
      </c>
      <c r="N149" t="inlineStr">
        <is>
          <t>FFFFFF</t>
        </is>
      </c>
      <c r="O149" t="inlineStr">
        <is>
          <t>C</t>
        </is>
      </c>
      <c r="Q149" t="n">
        <v>2</v>
      </c>
      <c r="R149" t="b">
        <v>1</v>
      </c>
      <c r="S149" t="inlineStr">
        <is>
          <t xml:space="preserve"> </t>
        </is>
      </c>
      <c r="T149" t="n">
        <v>0</v>
      </c>
    </row>
    <row r="150">
      <c r="A150" t="inlineStr">
        <is>
          <t>title_city</t>
        </is>
      </c>
      <c r="B150" t="n">
        <v>60</v>
      </c>
      <c r="C150" t="inlineStr">
        <is>
          <t>T</t>
        </is>
      </c>
      <c r="D150" t="n">
        <v>0</v>
      </c>
      <c r="E150" t="n">
        <v>10</v>
      </c>
      <c r="F150" t="n">
        <v>200</v>
      </c>
      <c r="G150" t="n">
        <v>13</v>
      </c>
      <c r="H150" t="inlineStr">
        <is>
          <t>custom</t>
        </is>
      </c>
      <c r="I150" t="n">
        <v>10</v>
      </c>
      <c r="J150" t="n">
        <v>1</v>
      </c>
      <c r="K150" t="n">
        <v>0</v>
      </c>
      <c r="L150" t="n">
        <v>0</v>
      </c>
      <c r="M150" t="inlineStr">
        <is>
          <t>584b9f</t>
        </is>
      </c>
      <c r="N150" t="inlineStr">
        <is>
          <t>FFFFFF</t>
        </is>
      </c>
      <c r="O150" t="inlineStr">
        <is>
          <t>R</t>
        </is>
      </c>
      <c r="Q150" t="n">
        <v>5</v>
      </c>
      <c r="R150" t="b">
        <v>0</v>
      </c>
      <c r="S150" t="inlineStr">
        <is>
          <t xml:space="preserve"> </t>
        </is>
      </c>
      <c r="T150" t="n">
        <v>0</v>
      </c>
    </row>
    <row r="151">
      <c r="A151" t="inlineStr">
        <is>
          <t>indicator_header</t>
        </is>
      </c>
      <c r="B151" t="n">
        <v>60</v>
      </c>
      <c r="C151" t="inlineStr">
        <is>
          <t>T</t>
        </is>
      </c>
      <c r="D151" t="n">
        <v>14</v>
      </c>
      <c r="E151" t="n">
        <v>20</v>
      </c>
      <c r="F151" t="n">
        <v>196</v>
      </c>
      <c r="G151" t="n">
        <v>25</v>
      </c>
      <c r="H151" t="inlineStr">
        <is>
          <t>custom</t>
        </is>
      </c>
      <c r="I151" t="n">
        <v>14</v>
      </c>
      <c r="J151" t="n">
        <v>1</v>
      </c>
      <c r="K151" t="n">
        <v>0</v>
      </c>
      <c r="L151" t="n">
        <v>0</v>
      </c>
      <c r="N151" t="inlineStr">
        <is>
          <t>FFFFFF</t>
        </is>
      </c>
      <c r="O151" t="inlineStr">
        <is>
          <t>L</t>
        </is>
      </c>
      <c r="Q151" t="n">
        <v>2</v>
      </c>
      <c r="R151" t="b">
        <v>0</v>
      </c>
      <c r="S151" t="inlineStr">
        <is>
          <t xml:space="preserve"> </t>
        </is>
      </c>
      <c r="T151" t="n">
        <v>0</v>
      </c>
    </row>
    <row r="152">
      <c r="A152" t="inlineStr">
        <is>
          <t>indicator_description</t>
        </is>
      </c>
      <c r="B152" t="n">
        <v>60</v>
      </c>
      <c r="C152" t="inlineStr">
        <is>
          <t>T</t>
        </is>
      </c>
      <c r="D152" t="n">
        <v>14</v>
      </c>
      <c r="E152" t="n">
        <v>33</v>
      </c>
      <c r="F152" t="n">
        <v>196</v>
      </c>
      <c r="G152" t="n">
        <v>38</v>
      </c>
      <c r="H152" t="inlineStr">
        <is>
          <t>custom</t>
        </is>
      </c>
      <c r="I152" t="n">
        <v>12</v>
      </c>
      <c r="J152" t="n">
        <v>0</v>
      </c>
      <c r="K152" t="n">
        <v>0</v>
      </c>
      <c r="L152" t="n">
        <v>0</v>
      </c>
      <c r="N152" t="inlineStr">
        <is>
          <t>FFFFFF</t>
        </is>
      </c>
      <c r="O152" t="inlineStr">
        <is>
          <t>L</t>
        </is>
      </c>
      <c r="Q152" t="n">
        <v>2</v>
      </c>
      <c r="R152" t="b">
        <v>1</v>
      </c>
      <c r="S152" t="inlineStr">
        <is>
          <t xml:space="preserve"> </t>
        </is>
      </c>
      <c r="T152" t="n">
        <v>0</v>
      </c>
    </row>
    <row r="153">
      <c r="A153" t="inlineStr">
        <is>
          <t>indicator_map</t>
        </is>
      </c>
      <c r="B153" t="n">
        <v>60</v>
      </c>
      <c r="C153" t="inlineStr">
        <is>
          <t>I</t>
        </is>
      </c>
      <c r="D153" t="n">
        <v>14</v>
      </c>
      <c r="E153" t="n">
        <v>80</v>
      </c>
      <c r="F153" t="n">
        <v>196</v>
      </c>
      <c r="G153" t="n">
        <v>245</v>
      </c>
      <c r="I153" t="n">
        <v>0</v>
      </c>
      <c r="J153" t="n">
        <v>0</v>
      </c>
      <c r="K153" t="n">
        <v>0</v>
      </c>
      <c r="L153" t="n">
        <v>0</v>
      </c>
      <c r="N153" t="inlineStr">
        <is>
          <t>FFFFFF</t>
        </is>
      </c>
      <c r="O153" t="inlineStr">
        <is>
          <t>L</t>
        </is>
      </c>
      <c r="Q153" t="n">
        <v>2</v>
      </c>
      <c r="R153" t="b">
        <v>0</v>
      </c>
      <c r="S153" t="inlineStr">
        <is>
          <t xml:space="preserve"> </t>
        </is>
      </c>
      <c r="T153" t="n">
        <v>0</v>
      </c>
    </row>
    <row r="154">
      <c r="A154" t="inlineStr">
        <is>
          <t>indicator_label</t>
        </is>
      </c>
      <c r="B154" t="n">
        <v>60</v>
      </c>
      <c r="C154" t="inlineStr">
        <is>
          <t>T</t>
        </is>
      </c>
      <c r="D154" t="n">
        <v>30</v>
      </c>
      <c r="E154" t="n">
        <v>253</v>
      </c>
      <c r="F154" t="n">
        <v>180</v>
      </c>
      <c r="G154" t="n">
        <v>261</v>
      </c>
      <c r="H154" t="inlineStr">
        <is>
          <t>custom</t>
        </is>
      </c>
      <c r="I154" t="n">
        <v>16</v>
      </c>
      <c r="J154" t="n">
        <v>0</v>
      </c>
      <c r="K154" t="n">
        <v>0</v>
      </c>
      <c r="L154" t="n">
        <v>0</v>
      </c>
      <c r="M154" t="inlineStr">
        <is>
          <t>584b9f</t>
        </is>
      </c>
      <c r="N154" t="inlineStr">
        <is>
          <t>FFFFFF</t>
        </is>
      </c>
      <c r="O154" t="inlineStr">
        <is>
          <t>C</t>
        </is>
      </c>
      <c r="Q154" t="n">
        <v>2</v>
      </c>
      <c r="R154" t="b">
        <v>1</v>
      </c>
      <c r="S154" t="inlineStr">
        <is>
          <t xml:space="preserve"> </t>
        </is>
      </c>
      <c r="T154" t="n">
        <v>0</v>
      </c>
    </row>
    <row r="155">
      <c r="A155" t="inlineStr">
        <is>
          <t>title_city</t>
        </is>
      </c>
      <c r="B155" t="n">
        <v>61</v>
      </c>
      <c r="C155" t="inlineStr">
        <is>
          <t>T</t>
        </is>
      </c>
      <c r="D155" t="n">
        <v>0</v>
      </c>
      <c r="E155" t="n">
        <v>10</v>
      </c>
      <c r="F155" t="n">
        <v>200</v>
      </c>
      <c r="G155" t="n">
        <v>13</v>
      </c>
      <c r="H155" t="inlineStr">
        <is>
          <t>custom</t>
        </is>
      </c>
      <c r="I155" t="n">
        <v>10</v>
      </c>
      <c r="J155" t="n">
        <v>1</v>
      </c>
      <c r="K155" t="n">
        <v>0</v>
      </c>
      <c r="L155" t="n">
        <v>0</v>
      </c>
      <c r="M155" t="inlineStr">
        <is>
          <t>584b9f</t>
        </is>
      </c>
      <c r="N155" t="inlineStr">
        <is>
          <t>FFFFFF</t>
        </is>
      </c>
      <c r="O155" t="inlineStr">
        <is>
          <t>R</t>
        </is>
      </c>
      <c r="Q155" t="n">
        <v>5</v>
      </c>
      <c r="R155" t="b">
        <v>0</v>
      </c>
      <c r="S155" t="inlineStr">
        <is>
          <t xml:space="preserve"> </t>
        </is>
      </c>
      <c r="T155" t="n">
        <v>0</v>
      </c>
    </row>
    <row r="156">
      <c r="A156" t="inlineStr">
        <is>
          <t>indicator_header</t>
        </is>
      </c>
      <c r="B156" t="n">
        <v>61</v>
      </c>
      <c r="C156" t="inlineStr">
        <is>
          <t>T</t>
        </is>
      </c>
      <c r="D156" t="n">
        <v>14</v>
      </c>
      <c r="E156" t="n">
        <v>20</v>
      </c>
      <c r="F156" t="n">
        <v>196</v>
      </c>
      <c r="G156" t="n">
        <v>25</v>
      </c>
      <c r="H156" t="inlineStr">
        <is>
          <t>custom</t>
        </is>
      </c>
      <c r="I156" t="n">
        <v>14</v>
      </c>
      <c r="J156" t="n">
        <v>1</v>
      </c>
      <c r="K156" t="n">
        <v>0</v>
      </c>
      <c r="L156" t="n">
        <v>0</v>
      </c>
      <c r="N156" t="inlineStr">
        <is>
          <t>FFFFFF</t>
        </is>
      </c>
      <c r="O156" t="inlineStr">
        <is>
          <t>L</t>
        </is>
      </c>
      <c r="Q156" t="n">
        <v>2</v>
      </c>
      <c r="R156" t="b">
        <v>0</v>
      </c>
      <c r="S156" t="inlineStr">
        <is>
          <t xml:space="preserve"> </t>
        </is>
      </c>
      <c r="T156" t="n">
        <v>0</v>
      </c>
    </row>
    <row r="157">
      <c r="A157" t="inlineStr">
        <is>
          <t>indicator_description</t>
        </is>
      </c>
      <c r="B157" t="n">
        <v>61</v>
      </c>
      <c r="C157" t="inlineStr">
        <is>
          <t>T</t>
        </is>
      </c>
      <c r="D157" t="n">
        <v>14</v>
      </c>
      <c r="E157" t="n">
        <v>33</v>
      </c>
      <c r="F157" t="n">
        <v>196</v>
      </c>
      <c r="G157" t="n">
        <v>38</v>
      </c>
      <c r="H157" t="inlineStr">
        <is>
          <t>custom</t>
        </is>
      </c>
      <c r="I157" t="n">
        <v>12</v>
      </c>
      <c r="J157" t="n">
        <v>0</v>
      </c>
      <c r="K157" t="n">
        <v>0</v>
      </c>
      <c r="L157" t="n">
        <v>0</v>
      </c>
      <c r="N157" t="inlineStr">
        <is>
          <t>FFFFFF</t>
        </is>
      </c>
      <c r="O157" t="inlineStr">
        <is>
          <t>L</t>
        </is>
      </c>
      <c r="Q157" t="n">
        <v>2</v>
      </c>
      <c r="R157" t="b">
        <v>1</v>
      </c>
      <c r="S157" t="inlineStr">
        <is>
          <t xml:space="preserve"> </t>
        </is>
      </c>
      <c r="T157" t="n">
        <v>0</v>
      </c>
    </row>
    <row r="158">
      <c r="A158" t="inlineStr">
        <is>
          <t>indicator_map</t>
        </is>
      </c>
      <c r="B158" t="n">
        <v>61</v>
      </c>
      <c r="C158" t="inlineStr">
        <is>
          <t>I</t>
        </is>
      </c>
      <c r="D158" t="n">
        <v>14</v>
      </c>
      <c r="E158" t="n">
        <v>80</v>
      </c>
      <c r="F158" t="n">
        <v>196</v>
      </c>
      <c r="G158" t="n">
        <v>245</v>
      </c>
      <c r="I158" t="n">
        <v>0</v>
      </c>
      <c r="J158" t="n">
        <v>0</v>
      </c>
      <c r="K158" t="n">
        <v>0</v>
      </c>
      <c r="L158" t="n">
        <v>0</v>
      </c>
      <c r="N158" t="inlineStr">
        <is>
          <t>FFFFFF</t>
        </is>
      </c>
      <c r="O158" t="inlineStr">
        <is>
          <t>L</t>
        </is>
      </c>
      <c r="Q158" t="n">
        <v>2</v>
      </c>
      <c r="R158" t="b">
        <v>0</v>
      </c>
      <c r="S158" t="inlineStr">
        <is>
          <t xml:space="preserve"> </t>
        </is>
      </c>
      <c r="T158" t="n">
        <v>0</v>
      </c>
    </row>
    <row r="159">
      <c r="A159" t="inlineStr">
        <is>
          <t>indicator_label</t>
        </is>
      </c>
      <c r="B159" t="n">
        <v>61</v>
      </c>
      <c r="C159" t="inlineStr">
        <is>
          <t>T</t>
        </is>
      </c>
      <c r="D159" t="n">
        <v>30</v>
      </c>
      <c r="E159" t="n">
        <v>253</v>
      </c>
      <c r="F159" t="n">
        <v>180</v>
      </c>
      <c r="G159" t="n">
        <v>261</v>
      </c>
      <c r="H159" t="inlineStr">
        <is>
          <t>custom</t>
        </is>
      </c>
      <c r="I159" t="n">
        <v>16</v>
      </c>
      <c r="J159" t="n">
        <v>0</v>
      </c>
      <c r="K159" t="n">
        <v>0</v>
      </c>
      <c r="L159" t="n">
        <v>0</v>
      </c>
      <c r="M159" t="inlineStr">
        <is>
          <t>584b9f</t>
        </is>
      </c>
      <c r="N159" t="inlineStr">
        <is>
          <t>FFFFFF</t>
        </is>
      </c>
      <c r="O159" t="inlineStr">
        <is>
          <t>C</t>
        </is>
      </c>
      <c r="Q159" t="n">
        <v>2</v>
      </c>
      <c r="R159" t="b">
        <v>1</v>
      </c>
      <c r="S159" t="inlineStr">
        <is>
          <t xml:space="preserve"> </t>
        </is>
      </c>
      <c r="T159" t="n">
        <v>0</v>
      </c>
    </row>
    <row r="160">
      <c r="A160" t="inlineStr">
        <is>
          <t>title_city</t>
        </is>
      </c>
      <c r="B160" t="n">
        <v>62</v>
      </c>
      <c r="C160" t="inlineStr">
        <is>
          <t>T</t>
        </is>
      </c>
      <c r="D160" t="n">
        <v>0</v>
      </c>
      <c r="E160" t="n">
        <v>10</v>
      </c>
      <c r="F160" t="n">
        <v>200</v>
      </c>
      <c r="G160" t="n">
        <v>13</v>
      </c>
      <c r="H160" t="inlineStr">
        <is>
          <t>custom</t>
        </is>
      </c>
      <c r="I160" t="n">
        <v>10</v>
      </c>
      <c r="J160" t="n">
        <v>1</v>
      </c>
      <c r="K160" t="n">
        <v>0</v>
      </c>
      <c r="L160" t="n">
        <v>0</v>
      </c>
      <c r="M160" t="inlineStr">
        <is>
          <t>584b9f</t>
        </is>
      </c>
      <c r="N160" t="inlineStr">
        <is>
          <t>FFFFFF</t>
        </is>
      </c>
      <c r="O160" t="inlineStr">
        <is>
          <t>R</t>
        </is>
      </c>
      <c r="Q160" t="n">
        <v>5</v>
      </c>
      <c r="R160" t="b">
        <v>0</v>
      </c>
      <c r="S160" t="inlineStr">
        <is>
          <t xml:space="preserve"> </t>
        </is>
      </c>
      <c r="T160" t="n">
        <v>0</v>
      </c>
    </row>
    <row r="161">
      <c r="A161" t="inlineStr">
        <is>
          <t>indicator_header</t>
        </is>
      </c>
      <c r="B161" t="n">
        <v>62</v>
      </c>
      <c r="C161" t="inlineStr">
        <is>
          <t>T</t>
        </is>
      </c>
      <c r="D161" t="n">
        <v>14</v>
      </c>
      <c r="E161" t="n">
        <v>20</v>
      </c>
      <c r="F161" t="n">
        <v>196</v>
      </c>
      <c r="G161" t="n">
        <v>25</v>
      </c>
      <c r="H161" t="inlineStr">
        <is>
          <t>custom</t>
        </is>
      </c>
      <c r="I161" t="n">
        <v>14</v>
      </c>
      <c r="J161" t="n">
        <v>1</v>
      </c>
      <c r="K161" t="n">
        <v>0</v>
      </c>
      <c r="L161" t="n">
        <v>0</v>
      </c>
      <c r="N161" t="inlineStr">
        <is>
          <t>FFFFFF</t>
        </is>
      </c>
      <c r="O161" t="inlineStr">
        <is>
          <t>L</t>
        </is>
      </c>
      <c r="Q161" t="n">
        <v>2</v>
      </c>
      <c r="R161" t="b">
        <v>0</v>
      </c>
      <c r="S161" t="inlineStr">
        <is>
          <t xml:space="preserve"> </t>
        </is>
      </c>
      <c r="T161" t="n">
        <v>0</v>
      </c>
    </row>
    <row r="162">
      <c r="A162" t="inlineStr">
        <is>
          <t>indicator_description</t>
        </is>
      </c>
      <c r="B162" t="n">
        <v>62</v>
      </c>
      <c r="C162" t="inlineStr">
        <is>
          <t>T</t>
        </is>
      </c>
      <c r="D162" t="n">
        <v>14</v>
      </c>
      <c r="E162" t="n">
        <v>33</v>
      </c>
      <c r="F162" t="n">
        <v>196</v>
      </c>
      <c r="G162" t="n">
        <v>38</v>
      </c>
      <c r="H162" t="inlineStr">
        <is>
          <t>custom</t>
        </is>
      </c>
      <c r="I162" t="n">
        <v>12</v>
      </c>
      <c r="J162" t="n">
        <v>0</v>
      </c>
      <c r="K162" t="n">
        <v>0</v>
      </c>
      <c r="L162" t="n">
        <v>0</v>
      </c>
      <c r="N162" t="inlineStr">
        <is>
          <t>FFFFFF</t>
        </is>
      </c>
      <c r="O162" t="inlineStr">
        <is>
          <t>L</t>
        </is>
      </c>
      <c r="Q162" t="n">
        <v>2</v>
      </c>
      <c r="R162" t="b">
        <v>1</v>
      </c>
      <c r="S162" t="inlineStr">
        <is>
          <t xml:space="preserve"> </t>
        </is>
      </c>
      <c r="T162" t="n">
        <v>0</v>
      </c>
    </row>
    <row r="163">
      <c r="A163" t="inlineStr">
        <is>
          <t>indicator_map</t>
        </is>
      </c>
      <c r="B163" t="n">
        <v>62</v>
      </c>
      <c r="C163" t="inlineStr">
        <is>
          <t>I</t>
        </is>
      </c>
      <c r="D163" t="n">
        <v>14</v>
      </c>
      <c r="E163" t="n">
        <v>80</v>
      </c>
      <c r="F163" t="n">
        <v>196</v>
      </c>
      <c r="G163" t="n">
        <v>245</v>
      </c>
      <c r="I163" t="n">
        <v>0</v>
      </c>
      <c r="J163" t="n">
        <v>0</v>
      </c>
      <c r="K163" t="n">
        <v>0</v>
      </c>
      <c r="L163" t="n">
        <v>0</v>
      </c>
      <c r="N163" t="inlineStr">
        <is>
          <t>FFFFFF</t>
        </is>
      </c>
      <c r="O163" t="inlineStr">
        <is>
          <t>L</t>
        </is>
      </c>
      <c r="Q163" t="n">
        <v>2</v>
      </c>
      <c r="R163" t="b">
        <v>0</v>
      </c>
      <c r="S163" t="inlineStr">
        <is>
          <t xml:space="preserve"> </t>
        </is>
      </c>
      <c r="T163" t="n">
        <v>0</v>
      </c>
    </row>
    <row r="164">
      <c r="A164" t="inlineStr">
        <is>
          <t>indicator_label</t>
        </is>
      </c>
      <c r="B164" t="n">
        <v>62</v>
      </c>
      <c r="C164" t="inlineStr">
        <is>
          <t>T</t>
        </is>
      </c>
      <c r="D164" t="n">
        <v>30</v>
      </c>
      <c r="E164" t="n">
        <v>253</v>
      </c>
      <c r="F164" t="n">
        <v>180</v>
      </c>
      <c r="G164" t="n">
        <v>261</v>
      </c>
      <c r="H164" t="inlineStr">
        <is>
          <t>custom</t>
        </is>
      </c>
      <c r="I164" t="n">
        <v>16</v>
      </c>
      <c r="J164" t="n">
        <v>0</v>
      </c>
      <c r="K164" t="n">
        <v>0</v>
      </c>
      <c r="L164" t="n">
        <v>0</v>
      </c>
      <c r="M164" t="inlineStr">
        <is>
          <t>584b9f</t>
        </is>
      </c>
      <c r="N164" t="inlineStr">
        <is>
          <t>FFFFFF</t>
        </is>
      </c>
      <c r="O164" t="inlineStr">
        <is>
          <t>C</t>
        </is>
      </c>
      <c r="Q164" t="n">
        <v>2</v>
      </c>
      <c r="R164" t="b">
        <v>1</v>
      </c>
      <c r="S164" t="inlineStr">
        <is>
          <t xml:space="preserve"> </t>
        </is>
      </c>
      <c r="T164" t="n">
        <v>0</v>
      </c>
    </row>
    <row r="165">
      <c r="A165" t="inlineStr">
        <is>
          <t>title_city</t>
        </is>
      </c>
      <c r="B165" t="n">
        <v>64</v>
      </c>
      <c r="C165" t="inlineStr">
        <is>
          <t>T</t>
        </is>
      </c>
      <c r="D165" t="n">
        <v>0</v>
      </c>
      <c r="E165" t="n">
        <v>10</v>
      </c>
      <c r="F165" t="n">
        <v>200</v>
      </c>
      <c r="G165" t="n">
        <v>13</v>
      </c>
      <c r="H165" t="inlineStr">
        <is>
          <t>custom</t>
        </is>
      </c>
      <c r="I165" t="n">
        <v>10</v>
      </c>
      <c r="J165" t="n">
        <v>1</v>
      </c>
      <c r="K165" t="n">
        <v>0</v>
      </c>
      <c r="L165" t="n">
        <v>0</v>
      </c>
      <c r="M165" t="inlineStr">
        <is>
          <t>584b9f</t>
        </is>
      </c>
      <c r="N165" t="inlineStr">
        <is>
          <t>FFFFFF</t>
        </is>
      </c>
      <c r="O165" t="inlineStr">
        <is>
          <t>R</t>
        </is>
      </c>
      <c r="Q165" t="n">
        <v>5</v>
      </c>
      <c r="R165" t="b">
        <v>0</v>
      </c>
      <c r="S165" t="inlineStr">
        <is>
          <t xml:space="preserve"> </t>
        </is>
      </c>
      <c r="T165" t="n">
        <v>0</v>
      </c>
    </row>
    <row r="166">
      <c r="A166" t="inlineStr">
        <is>
          <t>indicator_header</t>
        </is>
      </c>
      <c r="B166" t="n">
        <v>64</v>
      </c>
      <c r="C166" t="inlineStr">
        <is>
          <t>T</t>
        </is>
      </c>
      <c r="D166" t="n">
        <v>14</v>
      </c>
      <c r="E166" t="n">
        <v>20</v>
      </c>
      <c r="F166" t="n">
        <v>196</v>
      </c>
      <c r="G166" t="n">
        <v>25</v>
      </c>
      <c r="H166" t="inlineStr">
        <is>
          <t>custom</t>
        </is>
      </c>
      <c r="I166" t="n">
        <v>14</v>
      </c>
      <c r="J166" t="n">
        <v>1</v>
      </c>
      <c r="K166" t="n">
        <v>0</v>
      </c>
      <c r="L166" t="n">
        <v>0</v>
      </c>
      <c r="N166" t="inlineStr">
        <is>
          <t>FFFFFF</t>
        </is>
      </c>
      <c r="O166" t="inlineStr">
        <is>
          <t>L</t>
        </is>
      </c>
      <c r="Q166" t="n">
        <v>2</v>
      </c>
      <c r="R166" t="b">
        <v>0</v>
      </c>
      <c r="S166" t="inlineStr">
        <is>
          <t xml:space="preserve"> </t>
        </is>
      </c>
      <c r="T166" t="n">
        <v>0</v>
      </c>
    </row>
    <row r="167">
      <c r="A167" t="inlineStr">
        <is>
          <t>indicator_description</t>
        </is>
      </c>
      <c r="B167" t="n">
        <v>64</v>
      </c>
      <c r="C167" t="inlineStr">
        <is>
          <t>T</t>
        </is>
      </c>
      <c r="D167" t="n">
        <v>14</v>
      </c>
      <c r="E167" t="n">
        <v>33</v>
      </c>
      <c r="F167" t="n">
        <v>196</v>
      </c>
      <c r="G167" t="n">
        <v>38</v>
      </c>
      <c r="H167" t="inlineStr">
        <is>
          <t>custom</t>
        </is>
      </c>
      <c r="I167" t="n">
        <v>12</v>
      </c>
      <c r="J167" t="n">
        <v>0</v>
      </c>
      <c r="K167" t="n">
        <v>0</v>
      </c>
      <c r="L167" t="n">
        <v>0</v>
      </c>
      <c r="N167" t="inlineStr">
        <is>
          <t>FFFFFF</t>
        </is>
      </c>
      <c r="O167" t="inlineStr">
        <is>
          <t>L</t>
        </is>
      </c>
      <c r="Q167" t="n">
        <v>2</v>
      </c>
      <c r="R167" t="b">
        <v>1</v>
      </c>
      <c r="S167" t="inlineStr">
        <is>
          <t xml:space="preserve"> </t>
        </is>
      </c>
      <c r="T167" t="n">
        <v>0</v>
      </c>
    </row>
    <row r="168">
      <c r="A168" t="inlineStr">
        <is>
          <t>indicator_map</t>
        </is>
      </c>
      <c r="B168" t="n">
        <v>64</v>
      </c>
      <c r="C168" t="inlineStr">
        <is>
          <t>I</t>
        </is>
      </c>
      <c r="D168" t="n">
        <v>14</v>
      </c>
      <c r="E168" t="n">
        <v>80</v>
      </c>
      <c r="F168" t="n">
        <v>196</v>
      </c>
      <c r="G168" t="n">
        <v>245</v>
      </c>
      <c r="I168" t="n">
        <v>0</v>
      </c>
      <c r="J168" t="n">
        <v>0</v>
      </c>
      <c r="K168" t="n">
        <v>0</v>
      </c>
      <c r="L168" t="n">
        <v>0</v>
      </c>
      <c r="N168" t="inlineStr">
        <is>
          <t>FFFFFF</t>
        </is>
      </c>
      <c r="O168" t="inlineStr">
        <is>
          <t>L</t>
        </is>
      </c>
      <c r="Q168" t="n">
        <v>2</v>
      </c>
      <c r="R168" t="b">
        <v>0</v>
      </c>
      <c r="S168" t="inlineStr">
        <is>
          <t xml:space="preserve"> </t>
        </is>
      </c>
      <c r="T168" t="n">
        <v>0</v>
      </c>
    </row>
    <row r="169">
      <c r="A169" t="inlineStr">
        <is>
          <t>indicator_label</t>
        </is>
      </c>
      <c r="B169" t="n">
        <v>64</v>
      </c>
      <c r="C169" t="inlineStr">
        <is>
          <t>T</t>
        </is>
      </c>
      <c r="D169" t="n">
        <v>30</v>
      </c>
      <c r="E169" t="n">
        <v>253</v>
      </c>
      <c r="F169" t="n">
        <v>180</v>
      </c>
      <c r="G169" t="n">
        <v>261</v>
      </c>
      <c r="H169" t="inlineStr">
        <is>
          <t>custom</t>
        </is>
      </c>
      <c r="I169" t="n">
        <v>16</v>
      </c>
      <c r="J169" t="n">
        <v>0</v>
      </c>
      <c r="K169" t="n">
        <v>0</v>
      </c>
      <c r="L169" t="n">
        <v>0</v>
      </c>
      <c r="M169" t="inlineStr">
        <is>
          <t>584b9f</t>
        </is>
      </c>
      <c r="N169" t="inlineStr">
        <is>
          <t>FFFFFF</t>
        </is>
      </c>
      <c r="O169" t="inlineStr">
        <is>
          <t>C</t>
        </is>
      </c>
      <c r="Q169" t="n">
        <v>2</v>
      </c>
      <c r="R169" t="b">
        <v>1</v>
      </c>
      <c r="S169" t="inlineStr">
        <is>
          <t xml:space="preserve"> </t>
        </is>
      </c>
      <c r="T169" t="n">
        <v>0</v>
      </c>
    </row>
    <row r="170">
      <c r="A170" t="inlineStr">
        <is>
          <t>title_city</t>
        </is>
      </c>
      <c r="B170" t="n">
        <v>65</v>
      </c>
      <c r="C170" t="inlineStr">
        <is>
          <t>T</t>
        </is>
      </c>
      <c r="D170" t="n">
        <v>0</v>
      </c>
      <c r="E170" t="n">
        <v>10</v>
      </c>
      <c r="F170" t="n">
        <v>200</v>
      </c>
      <c r="G170" t="n">
        <v>13</v>
      </c>
      <c r="H170" t="inlineStr">
        <is>
          <t>custom</t>
        </is>
      </c>
      <c r="I170" t="n">
        <v>10</v>
      </c>
      <c r="J170" t="n">
        <v>1</v>
      </c>
      <c r="K170" t="n">
        <v>0</v>
      </c>
      <c r="L170" t="n">
        <v>0</v>
      </c>
      <c r="M170" t="inlineStr">
        <is>
          <t>584b9f</t>
        </is>
      </c>
      <c r="N170" t="inlineStr">
        <is>
          <t>FFFFFF</t>
        </is>
      </c>
      <c r="O170" t="inlineStr">
        <is>
          <t>R</t>
        </is>
      </c>
      <c r="Q170" t="n">
        <v>5</v>
      </c>
      <c r="R170" t="b">
        <v>0</v>
      </c>
      <c r="S170" t="inlineStr">
        <is>
          <t xml:space="preserve"> </t>
        </is>
      </c>
      <c r="T170" t="n">
        <v>0</v>
      </c>
    </row>
    <row r="171">
      <c r="A171" t="inlineStr">
        <is>
          <t>indicator_header</t>
        </is>
      </c>
      <c r="B171" t="n">
        <v>65</v>
      </c>
      <c r="C171" t="inlineStr">
        <is>
          <t>T</t>
        </is>
      </c>
      <c r="D171" t="n">
        <v>14</v>
      </c>
      <c r="E171" t="n">
        <v>20</v>
      </c>
      <c r="F171" t="n">
        <v>196</v>
      </c>
      <c r="G171" t="n">
        <v>25</v>
      </c>
      <c r="H171" t="inlineStr">
        <is>
          <t>custom</t>
        </is>
      </c>
      <c r="I171" t="n">
        <v>14</v>
      </c>
      <c r="J171" t="n">
        <v>1</v>
      </c>
      <c r="K171" t="n">
        <v>0</v>
      </c>
      <c r="L171" t="n">
        <v>0</v>
      </c>
      <c r="N171" t="inlineStr">
        <is>
          <t>FFFFFF</t>
        </is>
      </c>
      <c r="O171" t="inlineStr">
        <is>
          <t>L</t>
        </is>
      </c>
      <c r="Q171" t="n">
        <v>2</v>
      </c>
      <c r="R171" t="b">
        <v>0</v>
      </c>
      <c r="S171" t="inlineStr">
        <is>
          <t xml:space="preserve"> </t>
        </is>
      </c>
      <c r="T171" t="n">
        <v>0</v>
      </c>
    </row>
    <row r="172">
      <c r="A172" t="inlineStr">
        <is>
          <t>indicator_description</t>
        </is>
      </c>
      <c r="B172" t="n">
        <v>65</v>
      </c>
      <c r="C172" t="inlineStr">
        <is>
          <t>T</t>
        </is>
      </c>
      <c r="D172" t="n">
        <v>14</v>
      </c>
      <c r="E172" t="n">
        <v>33</v>
      </c>
      <c r="F172" t="n">
        <v>196</v>
      </c>
      <c r="G172" t="n">
        <v>38</v>
      </c>
      <c r="H172" t="inlineStr">
        <is>
          <t>custom</t>
        </is>
      </c>
      <c r="I172" t="n">
        <v>12</v>
      </c>
      <c r="J172" t="n">
        <v>0</v>
      </c>
      <c r="K172" t="n">
        <v>0</v>
      </c>
      <c r="L172" t="n">
        <v>0</v>
      </c>
      <c r="N172" t="inlineStr">
        <is>
          <t>FFFFFF</t>
        </is>
      </c>
      <c r="O172" t="inlineStr">
        <is>
          <t>L</t>
        </is>
      </c>
      <c r="Q172" t="n">
        <v>2</v>
      </c>
      <c r="R172" t="b">
        <v>1</v>
      </c>
      <c r="S172" t="inlineStr">
        <is>
          <t xml:space="preserve"> </t>
        </is>
      </c>
      <c r="T172" t="n">
        <v>0</v>
      </c>
    </row>
    <row r="173">
      <c r="A173" t="inlineStr">
        <is>
          <t>indicator_map</t>
        </is>
      </c>
      <c r="B173" t="n">
        <v>65</v>
      </c>
      <c r="C173" t="inlineStr">
        <is>
          <t>I</t>
        </is>
      </c>
      <c r="D173" t="n">
        <v>14</v>
      </c>
      <c r="E173" t="n">
        <v>80</v>
      </c>
      <c r="F173" t="n">
        <v>196</v>
      </c>
      <c r="G173" t="n">
        <v>245</v>
      </c>
      <c r="I173" t="n">
        <v>0</v>
      </c>
      <c r="J173" t="n">
        <v>0</v>
      </c>
      <c r="K173" t="n">
        <v>0</v>
      </c>
      <c r="L173" t="n">
        <v>0</v>
      </c>
      <c r="N173" t="inlineStr">
        <is>
          <t>FFFFFF</t>
        </is>
      </c>
      <c r="O173" t="inlineStr">
        <is>
          <t>L</t>
        </is>
      </c>
      <c r="Q173" t="n">
        <v>2</v>
      </c>
      <c r="R173" t="b">
        <v>0</v>
      </c>
      <c r="S173" t="inlineStr">
        <is>
          <t xml:space="preserve"> </t>
        </is>
      </c>
      <c r="T173" t="n">
        <v>0</v>
      </c>
    </row>
    <row r="174">
      <c r="A174" t="inlineStr">
        <is>
          <t>indicator_label</t>
        </is>
      </c>
      <c r="B174" t="n">
        <v>65</v>
      </c>
      <c r="C174" t="inlineStr">
        <is>
          <t>T</t>
        </is>
      </c>
      <c r="D174" t="n">
        <v>30</v>
      </c>
      <c r="E174" t="n">
        <v>253</v>
      </c>
      <c r="F174" t="n">
        <v>180</v>
      </c>
      <c r="G174" t="n">
        <v>261</v>
      </c>
      <c r="H174" t="inlineStr">
        <is>
          <t>custom</t>
        </is>
      </c>
      <c r="I174" t="n">
        <v>16</v>
      </c>
      <c r="J174" t="n">
        <v>0</v>
      </c>
      <c r="K174" t="n">
        <v>0</v>
      </c>
      <c r="L174" t="n">
        <v>0</v>
      </c>
      <c r="M174" t="inlineStr">
        <is>
          <t>584b9f</t>
        </is>
      </c>
      <c r="N174" t="inlineStr">
        <is>
          <t>FFFFFF</t>
        </is>
      </c>
      <c r="O174" t="inlineStr">
        <is>
          <t>C</t>
        </is>
      </c>
      <c r="Q174" t="n">
        <v>2</v>
      </c>
      <c r="R174" t="b">
        <v>1</v>
      </c>
      <c r="S174" t="inlineStr">
        <is>
          <t xml:space="preserve"> </t>
        </is>
      </c>
      <c r="T174" t="n">
        <v>0</v>
      </c>
    </row>
    <row r="175">
      <c r="A175" t="inlineStr">
        <is>
          <t>title_city</t>
        </is>
      </c>
      <c r="B175" t="n">
        <v>66</v>
      </c>
      <c r="C175" t="inlineStr">
        <is>
          <t>T</t>
        </is>
      </c>
      <c r="D175" t="n">
        <v>0</v>
      </c>
      <c r="E175" t="n">
        <v>10</v>
      </c>
      <c r="F175" t="n">
        <v>200</v>
      </c>
      <c r="G175" t="n">
        <v>13</v>
      </c>
      <c r="H175" t="inlineStr">
        <is>
          <t>custom</t>
        </is>
      </c>
      <c r="I175" t="n">
        <v>10</v>
      </c>
      <c r="J175" t="n">
        <v>1</v>
      </c>
      <c r="K175" t="n">
        <v>0</v>
      </c>
      <c r="L175" t="n">
        <v>0</v>
      </c>
      <c r="M175" t="inlineStr">
        <is>
          <t>584b9f</t>
        </is>
      </c>
      <c r="N175" t="inlineStr">
        <is>
          <t>FFFFFF</t>
        </is>
      </c>
      <c r="O175" t="inlineStr">
        <is>
          <t>R</t>
        </is>
      </c>
      <c r="Q175" t="n">
        <v>5</v>
      </c>
      <c r="R175" t="b">
        <v>0</v>
      </c>
      <c r="S175" t="inlineStr">
        <is>
          <t xml:space="preserve"> </t>
        </is>
      </c>
      <c r="T175" t="n">
        <v>0</v>
      </c>
    </row>
    <row r="176">
      <c r="A176" t="inlineStr">
        <is>
          <t>indicator_header</t>
        </is>
      </c>
      <c r="B176" t="n">
        <v>66</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xml:space="preserve"> </t>
        </is>
      </c>
      <c r="T176" t="n">
        <v>0</v>
      </c>
    </row>
    <row r="177">
      <c r="A177" t="inlineStr">
        <is>
          <t>indicator_description</t>
        </is>
      </c>
      <c r="B177" t="n">
        <v>66</v>
      </c>
      <c r="C177" t="inlineStr">
        <is>
          <t>T</t>
        </is>
      </c>
      <c r="D177" t="n">
        <v>14</v>
      </c>
      <c r="E177" t="n">
        <v>33</v>
      </c>
      <c r="F177" t="n">
        <v>196</v>
      </c>
      <c r="G177" t="n">
        <v>38</v>
      </c>
      <c r="H177" t="inlineStr">
        <is>
          <t>custom</t>
        </is>
      </c>
      <c r="I177" t="n">
        <v>12</v>
      </c>
      <c r="J177" t="n">
        <v>0</v>
      </c>
      <c r="K177" t="n">
        <v>0</v>
      </c>
      <c r="L177" t="n">
        <v>0</v>
      </c>
      <c r="N177" t="inlineStr">
        <is>
          <t>FFFFFF</t>
        </is>
      </c>
      <c r="O177" t="inlineStr">
        <is>
          <t>L</t>
        </is>
      </c>
      <c r="Q177" t="n">
        <v>2</v>
      </c>
      <c r="R177" t="b">
        <v>1</v>
      </c>
      <c r="S177" t="inlineStr">
        <is>
          <t xml:space="preserve"> </t>
        </is>
      </c>
      <c r="T177" t="n">
        <v>0</v>
      </c>
    </row>
    <row r="178">
      <c r="A178" t="inlineStr">
        <is>
          <t>indicator_map</t>
        </is>
      </c>
      <c r="B178" t="n">
        <v>66</v>
      </c>
      <c r="C178" t="inlineStr">
        <is>
          <t>I</t>
        </is>
      </c>
      <c r="D178" t="n">
        <v>14</v>
      </c>
      <c r="E178" t="n">
        <v>80</v>
      </c>
      <c r="F178" t="n">
        <v>196</v>
      </c>
      <c r="G178" t="n">
        <v>245</v>
      </c>
      <c r="I178" t="n">
        <v>0</v>
      </c>
      <c r="J178" t="n">
        <v>0</v>
      </c>
      <c r="K178" t="n">
        <v>0</v>
      </c>
      <c r="L178" t="n">
        <v>0</v>
      </c>
      <c r="N178" t="inlineStr">
        <is>
          <t>FFFFFF</t>
        </is>
      </c>
      <c r="O178" t="inlineStr">
        <is>
          <t>L</t>
        </is>
      </c>
      <c r="Q178" t="n">
        <v>2</v>
      </c>
      <c r="R178" t="b">
        <v>0</v>
      </c>
      <c r="S178" t="inlineStr">
        <is>
          <t xml:space="preserve"> </t>
        </is>
      </c>
      <c r="T178" t="n">
        <v>0</v>
      </c>
    </row>
    <row r="179">
      <c r="A179" t="inlineStr">
        <is>
          <t>indicator_label</t>
        </is>
      </c>
      <c r="B179" t="n">
        <v>66</v>
      </c>
      <c r="C179" t="inlineStr">
        <is>
          <t>T</t>
        </is>
      </c>
      <c r="D179" t="n">
        <v>30</v>
      </c>
      <c r="E179" t="n">
        <v>253</v>
      </c>
      <c r="F179" t="n">
        <v>180</v>
      </c>
      <c r="G179" t="n">
        <v>261</v>
      </c>
      <c r="H179" t="inlineStr">
        <is>
          <t>custom</t>
        </is>
      </c>
      <c r="I179" t="n">
        <v>16</v>
      </c>
      <c r="J179" t="n">
        <v>0</v>
      </c>
      <c r="K179" t="n">
        <v>0</v>
      </c>
      <c r="L179" t="n">
        <v>0</v>
      </c>
      <c r="M179" t="inlineStr">
        <is>
          <t>584b9f</t>
        </is>
      </c>
      <c r="N179" t="inlineStr">
        <is>
          <t>FFFFFF</t>
        </is>
      </c>
      <c r="O179" t="inlineStr">
        <is>
          <t>C</t>
        </is>
      </c>
      <c r="Q179" t="n">
        <v>2</v>
      </c>
      <c r="R179" t="b">
        <v>1</v>
      </c>
      <c r="S179" t="inlineStr">
        <is>
          <t xml:space="preserve"> </t>
        </is>
      </c>
      <c r="T179" t="n">
        <v>0</v>
      </c>
    </row>
    <row r="180">
      <c r="A180" t="inlineStr">
        <is>
          <t>title_city</t>
        </is>
      </c>
      <c r="B180" t="n">
        <v>67</v>
      </c>
      <c r="C180" t="inlineStr">
        <is>
          <t>T</t>
        </is>
      </c>
      <c r="D180" t="n">
        <v>0</v>
      </c>
      <c r="E180" t="n">
        <v>10</v>
      </c>
      <c r="F180" t="n">
        <v>200</v>
      </c>
      <c r="G180" t="n">
        <v>13</v>
      </c>
      <c r="H180" t="inlineStr">
        <is>
          <t>custom</t>
        </is>
      </c>
      <c r="I180" t="n">
        <v>10</v>
      </c>
      <c r="J180" t="n">
        <v>1</v>
      </c>
      <c r="K180" t="n">
        <v>0</v>
      </c>
      <c r="L180" t="n">
        <v>0</v>
      </c>
      <c r="M180" t="inlineStr">
        <is>
          <t>584b9f</t>
        </is>
      </c>
      <c r="N180" t="inlineStr">
        <is>
          <t>FFFFFF</t>
        </is>
      </c>
      <c r="O180" t="inlineStr">
        <is>
          <t>R</t>
        </is>
      </c>
      <c r="Q180" t="n">
        <v>5</v>
      </c>
      <c r="R180" t="b">
        <v>0</v>
      </c>
      <c r="S180" t="inlineStr">
        <is>
          <t xml:space="preserve"> </t>
        </is>
      </c>
      <c r="T180" t="n">
        <v>0</v>
      </c>
    </row>
    <row r="181">
      <c r="A181" t="inlineStr">
        <is>
          <t>indicator_header</t>
        </is>
      </c>
      <c r="B181" t="n">
        <v>67</v>
      </c>
      <c r="C181" t="inlineStr">
        <is>
          <t>T</t>
        </is>
      </c>
      <c r="D181" t="n">
        <v>14</v>
      </c>
      <c r="E181" t="n">
        <v>20</v>
      </c>
      <c r="F181" t="n">
        <v>196</v>
      </c>
      <c r="G181" t="n">
        <v>25</v>
      </c>
      <c r="H181" t="inlineStr">
        <is>
          <t>custom</t>
        </is>
      </c>
      <c r="I181" t="n">
        <v>14</v>
      </c>
      <c r="J181" t="n">
        <v>1</v>
      </c>
      <c r="K181" t="n">
        <v>0</v>
      </c>
      <c r="L181" t="n">
        <v>0</v>
      </c>
      <c r="N181" t="inlineStr">
        <is>
          <t>FFFFFF</t>
        </is>
      </c>
      <c r="O181" t="inlineStr">
        <is>
          <t>L</t>
        </is>
      </c>
      <c r="Q181" t="n">
        <v>2</v>
      </c>
      <c r="R181" t="b">
        <v>0</v>
      </c>
      <c r="S181" t="inlineStr">
        <is>
          <t xml:space="preserve"> </t>
        </is>
      </c>
      <c r="T181" t="n">
        <v>0</v>
      </c>
    </row>
    <row r="182">
      <c r="A182" t="inlineStr">
        <is>
          <t>indicator_description</t>
        </is>
      </c>
      <c r="B182" t="n">
        <v>67</v>
      </c>
      <c r="C182" t="inlineStr">
        <is>
          <t>T</t>
        </is>
      </c>
      <c r="D182" t="n">
        <v>14</v>
      </c>
      <c r="E182" t="n">
        <v>33</v>
      </c>
      <c r="F182" t="n">
        <v>196</v>
      </c>
      <c r="G182" t="n">
        <v>38</v>
      </c>
      <c r="H182" t="inlineStr">
        <is>
          <t>custom</t>
        </is>
      </c>
      <c r="I182" t="n">
        <v>12</v>
      </c>
      <c r="J182" t="n">
        <v>0</v>
      </c>
      <c r="K182" t="n">
        <v>0</v>
      </c>
      <c r="L182" t="n">
        <v>0</v>
      </c>
      <c r="N182" t="inlineStr">
        <is>
          <t>FFFFFF</t>
        </is>
      </c>
      <c r="O182" t="inlineStr">
        <is>
          <t>L</t>
        </is>
      </c>
      <c r="Q182" t="n">
        <v>2</v>
      </c>
      <c r="R182" t="b">
        <v>1</v>
      </c>
      <c r="S182" t="inlineStr">
        <is>
          <t xml:space="preserve"> </t>
        </is>
      </c>
      <c r="T182" t="n">
        <v>0</v>
      </c>
    </row>
    <row r="183">
      <c r="A183" t="inlineStr">
        <is>
          <t>indicator_map</t>
        </is>
      </c>
      <c r="B183" t="n">
        <v>67</v>
      </c>
      <c r="C183" t="inlineStr">
        <is>
          <t>I</t>
        </is>
      </c>
      <c r="D183" t="n">
        <v>14</v>
      </c>
      <c r="E183" t="n">
        <v>80</v>
      </c>
      <c r="F183" t="n">
        <v>196</v>
      </c>
      <c r="G183" t="n">
        <v>245</v>
      </c>
      <c r="I183" t="n">
        <v>0</v>
      </c>
      <c r="J183" t="n">
        <v>0</v>
      </c>
      <c r="K183" t="n">
        <v>0</v>
      </c>
      <c r="L183" t="n">
        <v>0</v>
      </c>
      <c r="N183" t="inlineStr">
        <is>
          <t>FFFFFF</t>
        </is>
      </c>
      <c r="O183" t="inlineStr">
        <is>
          <t>L</t>
        </is>
      </c>
      <c r="Q183" t="n">
        <v>2</v>
      </c>
      <c r="R183" t="b">
        <v>0</v>
      </c>
      <c r="S183" t="inlineStr">
        <is>
          <t xml:space="preserve"> </t>
        </is>
      </c>
      <c r="T183" t="n">
        <v>0</v>
      </c>
    </row>
    <row r="184">
      <c r="A184" t="inlineStr">
        <is>
          <t>indicator_label</t>
        </is>
      </c>
      <c r="B184" t="n">
        <v>67</v>
      </c>
      <c r="C184" t="inlineStr">
        <is>
          <t>T</t>
        </is>
      </c>
      <c r="D184" t="n">
        <v>30</v>
      </c>
      <c r="E184" t="n">
        <v>253</v>
      </c>
      <c r="F184" t="n">
        <v>180</v>
      </c>
      <c r="G184" t="n">
        <v>261</v>
      </c>
      <c r="H184" t="inlineStr">
        <is>
          <t>custom</t>
        </is>
      </c>
      <c r="I184" t="n">
        <v>16</v>
      </c>
      <c r="J184" t="n">
        <v>0</v>
      </c>
      <c r="K184" t="n">
        <v>0</v>
      </c>
      <c r="L184" t="n">
        <v>0</v>
      </c>
      <c r="M184" t="inlineStr">
        <is>
          <t>584b9f</t>
        </is>
      </c>
      <c r="N184" t="inlineStr">
        <is>
          <t>FFFFFF</t>
        </is>
      </c>
      <c r="O184" t="inlineStr">
        <is>
          <t>C</t>
        </is>
      </c>
      <c r="Q184" t="n">
        <v>2</v>
      </c>
      <c r="R184" t="b">
        <v>1</v>
      </c>
      <c r="S184" t="inlineStr">
        <is>
          <t xml:space="preserve"> </t>
        </is>
      </c>
      <c r="T184" t="n">
        <v>0</v>
      </c>
    </row>
    <row r="185">
      <c r="A185" t="inlineStr">
        <is>
          <t>title_city</t>
        </is>
      </c>
      <c r="B185" t="n">
        <v>68</v>
      </c>
      <c r="C185" t="inlineStr">
        <is>
          <t>T</t>
        </is>
      </c>
      <c r="D185" t="n">
        <v>0</v>
      </c>
      <c r="E185" t="n">
        <v>10</v>
      </c>
      <c r="F185" t="n">
        <v>200</v>
      </c>
      <c r="G185" t="n">
        <v>13</v>
      </c>
      <c r="H185" t="inlineStr">
        <is>
          <t>custom</t>
        </is>
      </c>
      <c r="I185" t="n">
        <v>10</v>
      </c>
      <c r="J185" t="n">
        <v>1</v>
      </c>
      <c r="K185" t="n">
        <v>0</v>
      </c>
      <c r="L185" t="n">
        <v>0</v>
      </c>
      <c r="M185" t="inlineStr">
        <is>
          <t>584b9f</t>
        </is>
      </c>
      <c r="N185" t="inlineStr">
        <is>
          <t>FFFFFF</t>
        </is>
      </c>
      <c r="O185" t="inlineStr">
        <is>
          <t>R</t>
        </is>
      </c>
      <c r="Q185" t="n">
        <v>5</v>
      </c>
      <c r="R185" t="b">
        <v>0</v>
      </c>
      <c r="S185" t="inlineStr">
        <is>
          <t xml:space="preserve"> </t>
        </is>
      </c>
      <c r="T185" t="n">
        <v>0</v>
      </c>
    </row>
    <row r="186">
      <c r="A186" t="inlineStr">
        <is>
          <t>indicator_header</t>
        </is>
      </c>
      <c r="B186" t="n">
        <v>68</v>
      </c>
      <c r="C186" t="inlineStr">
        <is>
          <t>T</t>
        </is>
      </c>
      <c r="D186" t="n">
        <v>14</v>
      </c>
      <c r="E186" t="n">
        <v>20</v>
      </c>
      <c r="F186" t="n">
        <v>196</v>
      </c>
      <c r="G186" t="n">
        <v>25</v>
      </c>
      <c r="H186" t="inlineStr">
        <is>
          <t>custom</t>
        </is>
      </c>
      <c r="I186" t="n">
        <v>14</v>
      </c>
      <c r="J186" t="n">
        <v>1</v>
      </c>
      <c r="K186" t="n">
        <v>0</v>
      </c>
      <c r="L186" t="n">
        <v>0</v>
      </c>
      <c r="N186" t="inlineStr">
        <is>
          <t>FFFFFF</t>
        </is>
      </c>
      <c r="O186" t="inlineStr">
        <is>
          <t>L</t>
        </is>
      </c>
      <c r="Q186" t="n">
        <v>2</v>
      </c>
      <c r="R186" t="b">
        <v>0</v>
      </c>
      <c r="S186" t="inlineStr">
        <is>
          <t xml:space="preserve"> </t>
        </is>
      </c>
      <c r="T186" t="n">
        <v>0</v>
      </c>
    </row>
    <row r="187">
      <c r="A187" t="inlineStr">
        <is>
          <t>indicator_description</t>
        </is>
      </c>
      <c r="B187" t="n">
        <v>68</v>
      </c>
      <c r="C187" t="inlineStr">
        <is>
          <t>T</t>
        </is>
      </c>
      <c r="D187" t="n">
        <v>14</v>
      </c>
      <c r="E187" t="n">
        <v>33</v>
      </c>
      <c r="F187" t="n">
        <v>196</v>
      </c>
      <c r="G187" t="n">
        <v>38</v>
      </c>
      <c r="H187" t="inlineStr">
        <is>
          <t>custom</t>
        </is>
      </c>
      <c r="I187" t="n">
        <v>12</v>
      </c>
      <c r="J187" t="n">
        <v>0</v>
      </c>
      <c r="K187" t="n">
        <v>0</v>
      </c>
      <c r="L187" t="n">
        <v>0</v>
      </c>
      <c r="N187" t="inlineStr">
        <is>
          <t>FFFFFF</t>
        </is>
      </c>
      <c r="O187" t="inlineStr">
        <is>
          <t>L</t>
        </is>
      </c>
      <c r="Q187" t="n">
        <v>2</v>
      </c>
      <c r="R187" t="b">
        <v>1</v>
      </c>
      <c r="S187" t="inlineStr">
        <is>
          <t xml:space="preserve"> </t>
        </is>
      </c>
      <c r="T187" t="n">
        <v>0</v>
      </c>
    </row>
    <row r="188">
      <c r="A188" t="inlineStr">
        <is>
          <t>indicator_map</t>
        </is>
      </c>
      <c r="B188" t="n">
        <v>68</v>
      </c>
      <c r="C188" t="inlineStr">
        <is>
          <t>I</t>
        </is>
      </c>
      <c r="D188" t="n">
        <v>14</v>
      </c>
      <c r="E188" t="n">
        <v>80</v>
      </c>
      <c r="F188" t="n">
        <v>196</v>
      </c>
      <c r="G188" t="n">
        <v>245</v>
      </c>
      <c r="I188" t="n">
        <v>0</v>
      </c>
      <c r="J188" t="n">
        <v>0</v>
      </c>
      <c r="K188" t="n">
        <v>0</v>
      </c>
      <c r="L188" t="n">
        <v>0</v>
      </c>
      <c r="N188" t="inlineStr">
        <is>
          <t>FFFFFF</t>
        </is>
      </c>
      <c r="O188" t="inlineStr">
        <is>
          <t>L</t>
        </is>
      </c>
      <c r="Q188" t="n">
        <v>2</v>
      </c>
      <c r="R188" t="b">
        <v>0</v>
      </c>
      <c r="S188" t="inlineStr">
        <is>
          <t xml:space="preserve"> </t>
        </is>
      </c>
      <c r="T188" t="n">
        <v>0</v>
      </c>
    </row>
    <row r="189">
      <c r="A189" t="inlineStr">
        <is>
          <t>indicator_label</t>
        </is>
      </c>
      <c r="B189" t="n">
        <v>68</v>
      </c>
      <c r="C189" t="inlineStr">
        <is>
          <t>T</t>
        </is>
      </c>
      <c r="D189" t="n">
        <v>30</v>
      </c>
      <c r="E189" t="n">
        <v>253</v>
      </c>
      <c r="F189" t="n">
        <v>180</v>
      </c>
      <c r="G189" t="n">
        <v>261</v>
      </c>
      <c r="H189" t="inlineStr">
        <is>
          <t>custom</t>
        </is>
      </c>
      <c r="I189" t="n">
        <v>16</v>
      </c>
      <c r="J189" t="n">
        <v>0</v>
      </c>
      <c r="K189" t="n">
        <v>0</v>
      </c>
      <c r="L189" t="n">
        <v>0</v>
      </c>
      <c r="M189" t="inlineStr">
        <is>
          <t>584b9f</t>
        </is>
      </c>
      <c r="N189" t="inlineStr">
        <is>
          <t>FFFFFF</t>
        </is>
      </c>
      <c r="O189" t="inlineStr">
        <is>
          <t>C</t>
        </is>
      </c>
      <c r="Q189" t="n">
        <v>2</v>
      </c>
      <c r="R189" t="b">
        <v>1</v>
      </c>
      <c r="S189" t="inlineStr">
        <is>
          <t xml:space="preserve"> </t>
        </is>
      </c>
      <c r="T189" t="n">
        <v>0</v>
      </c>
    </row>
    <row r="190">
      <c r="A190" t="inlineStr">
        <is>
          <t>title_city</t>
        </is>
      </c>
      <c r="B190" t="n">
        <v>63</v>
      </c>
      <c r="C190" t="inlineStr">
        <is>
          <t>T</t>
        </is>
      </c>
      <c r="D190" t="n">
        <v>0</v>
      </c>
      <c r="E190" t="n">
        <v>10</v>
      </c>
      <c r="F190" t="n">
        <v>200</v>
      </c>
      <c r="G190" t="n">
        <v>13</v>
      </c>
      <c r="H190" t="inlineStr">
        <is>
          <t>custom</t>
        </is>
      </c>
      <c r="I190" t="n">
        <v>10</v>
      </c>
      <c r="J190" t="n">
        <v>1</v>
      </c>
      <c r="K190" t="n">
        <v>0</v>
      </c>
      <c r="L190" t="n">
        <v>0</v>
      </c>
      <c r="M190" t="inlineStr">
        <is>
          <t>584b9f</t>
        </is>
      </c>
      <c r="N190" t="inlineStr">
        <is>
          <t>FFFFFF</t>
        </is>
      </c>
      <c r="O190" t="inlineStr">
        <is>
          <t>R</t>
        </is>
      </c>
      <c r="Q190" t="n">
        <v>5</v>
      </c>
      <c r="R190" t="b">
        <v>0</v>
      </c>
      <c r="S190" t="inlineStr">
        <is>
          <t xml:space="preserve"> </t>
        </is>
      </c>
      <c r="T190" t="n">
        <v>0</v>
      </c>
    </row>
    <row r="191">
      <c r="A191" t="inlineStr">
        <is>
          <t>indicator_header</t>
        </is>
      </c>
      <c r="B191" t="n">
        <v>63</v>
      </c>
      <c r="C191" t="inlineStr">
        <is>
          <t>T</t>
        </is>
      </c>
      <c r="D191" t="n">
        <v>14</v>
      </c>
      <c r="E191" t="n">
        <v>20</v>
      </c>
      <c r="F191" t="n">
        <v>180</v>
      </c>
      <c r="G191" t="n">
        <v>25</v>
      </c>
      <c r="H191" t="inlineStr">
        <is>
          <t>custom</t>
        </is>
      </c>
      <c r="I191" t="n">
        <v>12</v>
      </c>
      <c r="J191" t="n">
        <v>1</v>
      </c>
      <c r="K191" t="n">
        <v>0</v>
      </c>
      <c r="L191" t="n">
        <v>0</v>
      </c>
      <c r="N191" t="inlineStr">
        <is>
          <t>FFFFFF</t>
        </is>
      </c>
      <c r="O191" t="inlineStr">
        <is>
          <t>L</t>
        </is>
      </c>
      <c r="Q191" t="n">
        <v>3</v>
      </c>
      <c r="R191" t="b">
        <v>0</v>
      </c>
      <c r="S191" t="inlineStr">
        <is>
          <t xml:space="preserve"> </t>
        </is>
      </c>
      <c r="T191" t="n">
        <v>0</v>
      </c>
    </row>
    <row r="192">
      <c r="A192" t="inlineStr">
        <is>
          <t>threshold scale text</t>
        </is>
      </c>
      <c r="B192" t="n">
        <v>63</v>
      </c>
      <c r="C192" t="inlineStr">
        <is>
          <t>T</t>
        </is>
      </c>
      <c r="D192" t="n">
        <v>29</v>
      </c>
      <c r="E192" t="n">
        <v>33</v>
      </c>
      <c r="F192" t="n">
        <v>196</v>
      </c>
      <c r="G192" t="n">
        <v>38</v>
      </c>
      <c r="H192" t="inlineStr">
        <is>
          <t>custom</t>
        </is>
      </c>
      <c r="I192" t="n">
        <v>10</v>
      </c>
      <c r="J192" t="n">
        <v>1</v>
      </c>
      <c r="K192" t="n">
        <v>0</v>
      </c>
      <c r="L192" t="n">
        <v>0</v>
      </c>
      <c r="N192" t="inlineStr">
        <is>
          <t>FFFFFF</t>
        </is>
      </c>
      <c r="O192" t="inlineStr">
        <is>
          <t>L</t>
        </is>
      </c>
      <c r="Q192" t="n">
        <v>1</v>
      </c>
      <c r="R192" t="b">
        <v>0</v>
      </c>
      <c r="S192" t="inlineStr">
        <is>
          <t xml:space="preserve"> </t>
        </is>
      </c>
      <c r="T192" t="n">
        <v>0</v>
      </c>
    </row>
    <row r="193">
      <c r="A193" t="inlineStr">
        <is>
          <t>thresholds image</t>
        </is>
      </c>
      <c r="B193" t="n">
        <v>63</v>
      </c>
      <c r="C193" t="inlineStr">
        <is>
          <t>I</t>
        </is>
      </c>
      <c r="D193" t="n">
        <v>40</v>
      </c>
      <c r="E193" t="n">
        <v>40</v>
      </c>
      <c r="F193" t="n">
        <v>104</v>
      </c>
      <c r="G193" t="n">
        <v>81</v>
      </c>
      <c r="I193" t="n">
        <v>1</v>
      </c>
      <c r="J193" t="n">
        <v>0</v>
      </c>
      <c r="K193" t="n">
        <v>0</v>
      </c>
      <c r="L193" t="n">
        <v>0</v>
      </c>
      <c r="M193" t="inlineStr">
        <is>
          <t>CCCCCCC</t>
        </is>
      </c>
      <c r="N193" t="inlineStr">
        <is>
          <t>FFFFFF</t>
        </is>
      </c>
      <c r="O193" t="inlineStr">
        <is>
          <t>L</t>
        </is>
      </c>
      <c r="P193" t="inlineStr">
        <is>
          <t>configuration/assets/illustrative density thresholds - intersections - no text.svg</t>
        </is>
      </c>
      <c r="Q193" t="n">
        <v>2</v>
      </c>
      <c r="R193" t="b">
        <v>0</v>
      </c>
      <c r="S193" t="inlineStr">
        <is>
          <t xml:space="preserve"> </t>
        </is>
      </c>
      <c r="T193" t="n">
        <v>0</v>
      </c>
    </row>
    <row r="194">
      <c r="A194" t="inlineStr">
        <is>
          <t>pct_100</t>
        </is>
      </c>
      <c r="B194" t="n">
        <v>63</v>
      </c>
      <c r="C194" t="inlineStr">
        <is>
          <t>T</t>
        </is>
      </c>
      <c r="D194" t="n">
        <v>14</v>
      </c>
      <c r="E194" t="n">
        <v>38</v>
      </c>
      <c r="F194" t="n">
        <v>40</v>
      </c>
      <c r="G194" t="n">
        <v>43</v>
      </c>
      <c r="H194" t="inlineStr">
        <is>
          <t>custom</t>
        </is>
      </c>
      <c r="I194" t="n">
        <v>10</v>
      </c>
      <c r="J194" t="n">
        <v>0</v>
      </c>
      <c r="K194" t="n">
        <v>0</v>
      </c>
      <c r="L194" t="n">
        <v>0</v>
      </c>
      <c r="N194" t="inlineStr">
        <is>
          <t>FFFFFF</t>
        </is>
      </c>
      <c r="O194" t="inlineStr">
        <is>
          <t>R</t>
        </is>
      </c>
      <c r="Q194" t="n">
        <v>3</v>
      </c>
      <c r="R194" t="b">
        <v>0</v>
      </c>
      <c r="S194" t="inlineStr">
        <is>
          <t xml:space="preserve"> </t>
        </is>
      </c>
      <c r="T194" t="n">
        <v>0</v>
      </c>
    </row>
    <row r="195">
      <c r="A195" t="inlineStr">
        <is>
          <t>pct_80</t>
        </is>
      </c>
      <c r="B195" t="n">
        <v>63</v>
      </c>
      <c r="C195" t="inlineStr">
        <is>
          <t>T</t>
        </is>
      </c>
      <c r="D195" t="n">
        <v>14</v>
      </c>
      <c r="E195" t="n">
        <v>46</v>
      </c>
      <c r="F195" t="n">
        <v>40</v>
      </c>
      <c r="G195" t="n">
        <v>51</v>
      </c>
      <c r="H195" t="inlineStr">
        <is>
          <t>custom</t>
        </is>
      </c>
      <c r="I195" t="n">
        <v>10</v>
      </c>
      <c r="J195" t="n">
        <v>0</v>
      </c>
      <c r="K195" t="n">
        <v>0</v>
      </c>
      <c r="L195" t="n">
        <v>0</v>
      </c>
      <c r="N195" t="inlineStr">
        <is>
          <t>FFFFFF</t>
        </is>
      </c>
      <c r="O195" t="inlineStr">
        <is>
          <t>R</t>
        </is>
      </c>
      <c r="Q195" t="n">
        <v>3</v>
      </c>
      <c r="R195" t="b">
        <v>0</v>
      </c>
      <c r="S195" t="inlineStr">
        <is>
          <t xml:space="preserve"> </t>
        </is>
      </c>
      <c r="T195" t="n">
        <v>0</v>
      </c>
    </row>
    <row r="196">
      <c r="A196" t="inlineStr">
        <is>
          <t>pct_60</t>
        </is>
      </c>
      <c r="B196" t="n">
        <v>63</v>
      </c>
      <c r="C196" t="inlineStr">
        <is>
          <t>T</t>
        </is>
      </c>
      <c r="D196" t="n">
        <v>14</v>
      </c>
      <c r="E196" t="n">
        <v>54</v>
      </c>
      <c r="F196" t="n">
        <v>40</v>
      </c>
      <c r="G196" t="n">
        <v>59</v>
      </c>
      <c r="H196" t="inlineStr">
        <is>
          <t>custom</t>
        </is>
      </c>
      <c r="I196" t="n">
        <v>10</v>
      </c>
      <c r="J196" t="n">
        <v>0</v>
      </c>
      <c r="K196" t="n">
        <v>0</v>
      </c>
      <c r="L196" t="n">
        <v>0</v>
      </c>
      <c r="N196" t="inlineStr">
        <is>
          <t>FFFFFF</t>
        </is>
      </c>
      <c r="O196" t="inlineStr">
        <is>
          <t>R</t>
        </is>
      </c>
      <c r="Q196" t="n">
        <v>3</v>
      </c>
      <c r="R196" t="b">
        <v>0</v>
      </c>
      <c r="S196" t="inlineStr">
        <is>
          <t xml:space="preserve"> </t>
        </is>
      </c>
      <c r="T196" t="n">
        <v>0</v>
      </c>
    </row>
    <row r="197">
      <c r="A197" t="inlineStr">
        <is>
          <t>pct_40</t>
        </is>
      </c>
      <c r="B197" t="n">
        <v>63</v>
      </c>
      <c r="C197" t="inlineStr">
        <is>
          <t>T</t>
        </is>
      </c>
      <c r="D197" t="n">
        <v>14</v>
      </c>
      <c r="E197" t="n">
        <v>62</v>
      </c>
      <c r="F197" t="n">
        <v>40</v>
      </c>
      <c r="G197" t="n">
        <v>67</v>
      </c>
      <c r="H197" t="inlineStr">
        <is>
          <t>custom</t>
        </is>
      </c>
      <c r="I197" t="n">
        <v>10</v>
      </c>
      <c r="J197" t="n">
        <v>0</v>
      </c>
      <c r="K197" t="n">
        <v>0</v>
      </c>
      <c r="L197" t="n">
        <v>0</v>
      </c>
      <c r="N197" t="inlineStr">
        <is>
          <t>FFFFFF</t>
        </is>
      </c>
      <c r="O197" t="inlineStr">
        <is>
          <t>R</t>
        </is>
      </c>
      <c r="Q197" t="n">
        <v>3</v>
      </c>
      <c r="R197" t="b">
        <v>0</v>
      </c>
      <c r="S197" t="inlineStr">
        <is>
          <t xml:space="preserve"> </t>
        </is>
      </c>
      <c r="T197" t="n">
        <v>0</v>
      </c>
    </row>
    <row r="198">
      <c r="A198" t="inlineStr">
        <is>
          <t>pct_20</t>
        </is>
      </c>
      <c r="B198" t="n">
        <v>63</v>
      </c>
      <c r="C198" t="inlineStr">
        <is>
          <t>T</t>
        </is>
      </c>
      <c r="D198" t="n">
        <v>14</v>
      </c>
      <c r="E198" t="n">
        <v>70</v>
      </c>
      <c r="F198" t="n">
        <v>40</v>
      </c>
      <c r="G198" t="n">
        <v>75</v>
      </c>
      <c r="H198" t="inlineStr">
        <is>
          <t>custom</t>
        </is>
      </c>
      <c r="I198" t="n">
        <v>10</v>
      </c>
      <c r="J198" t="n">
        <v>0</v>
      </c>
      <c r="K198" t="n">
        <v>0</v>
      </c>
      <c r="L198" t="n">
        <v>0</v>
      </c>
      <c r="N198" t="inlineStr">
        <is>
          <t>FFFFFF</t>
        </is>
      </c>
      <c r="O198" t="inlineStr">
        <is>
          <t>R</t>
        </is>
      </c>
      <c r="Q198" t="n">
        <v>3</v>
      </c>
      <c r="R198" t="b">
        <v>0</v>
      </c>
      <c r="S198" t="inlineStr">
        <is>
          <t xml:space="preserve"> </t>
        </is>
      </c>
      <c r="T198" t="n">
        <v>0</v>
      </c>
    </row>
    <row r="199">
      <c r="A199" t="inlineStr">
        <is>
          <t>pct_0</t>
        </is>
      </c>
      <c r="B199" t="n">
        <v>63</v>
      </c>
      <c r="C199" t="inlineStr">
        <is>
          <t>T</t>
        </is>
      </c>
      <c r="D199" t="n">
        <v>14</v>
      </c>
      <c r="E199" t="n">
        <v>78</v>
      </c>
      <c r="F199" t="n">
        <v>40</v>
      </c>
      <c r="G199" t="n">
        <v>83</v>
      </c>
      <c r="H199" t="inlineStr">
        <is>
          <t>custom</t>
        </is>
      </c>
      <c r="I199" t="n">
        <v>10</v>
      </c>
      <c r="J199" t="n">
        <v>0</v>
      </c>
      <c r="K199" t="n">
        <v>0</v>
      </c>
      <c r="L199" t="n">
        <v>0</v>
      </c>
      <c r="N199" t="inlineStr">
        <is>
          <t>FFFFFF</t>
        </is>
      </c>
      <c r="O199" t="inlineStr">
        <is>
          <t>R</t>
        </is>
      </c>
      <c r="Q199" t="n">
        <v>3</v>
      </c>
      <c r="R199" t="b">
        <v>0</v>
      </c>
      <c r="S199" t="inlineStr">
        <is>
          <t xml:space="preserve"> </t>
        </is>
      </c>
      <c r="T199" t="n">
        <v>0</v>
      </c>
    </row>
    <row r="200">
      <c r="A200" t="inlineStr">
        <is>
          <t>thresholds attribution</t>
        </is>
      </c>
      <c r="B200" t="n">
        <v>63</v>
      </c>
      <c r="C200" t="inlineStr">
        <is>
          <t>T</t>
        </is>
      </c>
      <c r="D200" t="n">
        <v>109</v>
      </c>
      <c r="E200" t="n">
        <v>45</v>
      </c>
      <c r="F200" t="n">
        <v>196</v>
      </c>
      <c r="G200" t="n">
        <v>48</v>
      </c>
      <c r="H200" t="inlineStr">
        <is>
          <t>custom</t>
        </is>
      </c>
      <c r="I200" t="n">
        <v>8</v>
      </c>
      <c r="J200" t="n">
        <v>0</v>
      </c>
      <c r="K200" t="n">
        <v>0</v>
      </c>
      <c r="L200" t="n">
        <v>0</v>
      </c>
      <c r="M200" t="inlineStr">
        <is>
          <t>584b9f</t>
        </is>
      </c>
      <c r="O200" t="inlineStr">
        <is>
          <t>L</t>
        </is>
      </c>
      <c r="P200" t="inlineStr">
        <is>
          <t>Adapted from The Lancet Global Health (2022): https://www.thelancet.com/infographics-do/urban-design-2022</t>
        </is>
      </c>
      <c r="Q200" t="n">
        <v>3</v>
      </c>
      <c r="R200" t="b">
        <v>1</v>
      </c>
      <c r="S200" t="inlineStr">
        <is>
          <t xml:space="preserve"> </t>
        </is>
      </c>
      <c r="T200" t="n">
        <v>0</v>
      </c>
    </row>
    <row r="201">
      <c r="A201" t="inlineStr">
        <is>
          <t>threshold intersections</t>
        </is>
      </c>
      <c r="B201" t="n">
        <v>63</v>
      </c>
      <c r="C201" t="inlineStr">
        <is>
          <t>T</t>
        </is>
      </c>
      <c r="D201" t="n">
        <v>56</v>
      </c>
      <c r="E201" t="n">
        <v>82</v>
      </c>
      <c r="F201" t="n">
        <v>196</v>
      </c>
      <c r="G201" t="n">
        <v>90</v>
      </c>
      <c r="H201" t="inlineStr">
        <is>
          <t>custom</t>
        </is>
      </c>
      <c r="I201" t="n">
        <v>12</v>
      </c>
      <c r="J201" t="n">
        <v>1</v>
      </c>
      <c r="K201" t="n">
        <v>0</v>
      </c>
      <c r="L201" t="n">
        <v>0</v>
      </c>
      <c r="M201" t="inlineStr">
        <is>
          <t>92D050</t>
        </is>
      </c>
      <c r="N201" t="inlineStr">
        <is>
          <t>FFFFFF</t>
        </is>
      </c>
      <c r="O201" t="inlineStr">
        <is>
          <t>L</t>
        </is>
      </c>
      <c r="Q201" t="n">
        <v>3</v>
      </c>
      <c r="R201" t="b">
        <v>1</v>
      </c>
      <c r="S201" t="inlineStr">
        <is>
          <t xml:space="preserve"> </t>
        </is>
      </c>
      <c r="T201" t="n">
        <v>0</v>
      </c>
    </row>
    <row r="202">
      <c r="A202" t="inlineStr">
        <is>
          <t>line1</t>
        </is>
      </c>
      <c r="B202" t="n">
        <v>63</v>
      </c>
      <c r="C202" t="inlineStr">
        <is>
          <t>L</t>
        </is>
      </c>
      <c r="D202" t="n">
        <v>30</v>
      </c>
      <c r="E202" t="n">
        <v>100</v>
      </c>
      <c r="F202" t="n">
        <v>170</v>
      </c>
      <c r="G202" t="n">
        <v>100</v>
      </c>
      <c r="I202" t="n">
        <v>0</v>
      </c>
      <c r="J202" t="n">
        <v>0</v>
      </c>
      <c r="K202" t="n">
        <v>0</v>
      </c>
      <c r="L202" t="n">
        <v>0</v>
      </c>
      <c r="N202" t="inlineStr">
        <is>
          <t>FFFFFF</t>
        </is>
      </c>
      <c r="O202" t="inlineStr">
        <is>
          <t>L</t>
        </is>
      </c>
      <c r="Q202" t="n">
        <v>2</v>
      </c>
      <c r="R202" t="b">
        <v>0</v>
      </c>
      <c r="S202" t="inlineStr">
        <is>
          <t xml:space="preserve"> </t>
        </is>
      </c>
      <c r="T202" t="n">
        <v>0</v>
      </c>
    </row>
    <row r="203">
      <c r="A203" t="inlineStr">
        <is>
          <t>local_nh_intersection_density</t>
        </is>
      </c>
      <c r="B203" t="n">
        <v>63</v>
      </c>
      <c r="C203" t="inlineStr">
        <is>
          <t>I</t>
        </is>
      </c>
      <c r="D203" t="n">
        <v>20</v>
      </c>
      <c r="E203" t="n">
        <v>140</v>
      </c>
      <c r="F203" t="n">
        <v>180</v>
      </c>
      <c r="G203" t="n">
        <v>285</v>
      </c>
      <c r="I203" t="n">
        <v>0</v>
      </c>
      <c r="J203" t="n">
        <v>0</v>
      </c>
      <c r="K203" t="n">
        <v>0</v>
      </c>
      <c r="L203" t="n">
        <v>0</v>
      </c>
      <c r="N203" t="inlineStr">
        <is>
          <t>FFFFFF</t>
        </is>
      </c>
      <c r="O203" t="inlineStr">
        <is>
          <t>L</t>
        </is>
      </c>
      <c r="Q203" t="n">
        <v>2</v>
      </c>
      <c r="R203" t="b">
        <v>0</v>
      </c>
      <c r="S203" t="inlineStr">
        <is>
          <t xml:space="preserve"> </t>
        </is>
      </c>
      <c r="T203" t="n">
        <v>0</v>
      </c>
    </row>
    <row r="204">
      <c r="A204" t="inlineStr">
        <is>
          <t>Mean 1000 m neighbourhood street intersections per km²</t>
        </is>
      </c>
      <c r="B204" t="n">
        <v>63</v>
      </c>
      <c r="C204" t="inlineStr">
        <is>
          <t>T</t>
        </is>
      </c>
      <c r="D204" t="n">
        <v>14</v>
      </c>
      <c r="E204" t="n">
        <v>110</v>
      </c>
      <c r="F204" t="n">
        <v>196</v>
      </c>
      <c r="G204" t="n">
        <v>118</v>
      </c>
      <c r="H204" t="inlineStr">
        <is>
          <t>custom</t>
        </is>
      </c>
      <c r="I204" t="n">
        <v>14</v>
      </c>
      <c r="J204" t="n">
        <v>0</v>
      </c>
      <c r="K204" t="n">
        <v>0</v>
      </c>
      <c r="L204" t="n">
        <v>0</v>
      </c>
      <c r="M204" t="inlineStr">
        <is>
          <t>584b9f</t>
        </is>
      </c>
      <c r="N204" t="inlineStr">
        <is>
          <t>FFFFFF</t>
        </is>
      </c>
      <c r="O204" t="inlineStr">
        <is>
          <t>C</t>
        </is>
      </c>
      <c r="Q204" t="n">
        <v>3</v>
      </c>
      <c r="R204" t="b">
        <v>1</v>
      </c>
      <c r="S204" t="inlineStr">
        <is>
          <t xml:space="preserve"> </t>
        </is>
      </c>
      <c r="T204" t="n">
        <v>0</v>
      </c>
    </row>
    <row r="205">
      <c r="A205" t="inlineStr">
        <is>
          <t>title_city</t>
        </is>
      </c>
      <c r="B205" t="n">
        <v>69</v>
      </c>
      <c r="C205" t="inlineStr">
        <is>
          <t>T</t>
        </is>
      </c>
      <c r="D205" t="n">
        <v>0</v>
      </c>
      <c r="E205" t="n">
        <v>10</v>
      </c>
      <c r="F205" t="n">
        <v>200</v>
      </c>
      <c r="G205" t="n">
        <v>13</v>
      </c>
      <c r="H205" t="inlineStr">
        <is>
          <t>custom</t>
        </is>
      </c>
      <c r="I205" t="n">
        <v>10</v>
      </c>
      <c r="J205" t="n">
        <v>1</v>
      </c>
      <c r="K205" t="n">
        <v>0</v>
      </c>
      <c r="L205" t="n">
        <v>0</v>
      </c>
      <c r="M205" t="inlineStr">
        <is>
          <t>584b9f</t>
        </is>
      </c>
      <c r="N205" t="inlineStr">
        <is>
          <t>FFFFFF</t>
        </is>
      </c>
      <c r="O205" t="inlineStr">
        <is>
          <t>R</t>
        </is>
      </c>
      <c r="Q205" t="n">
        <v>5</v>
      </c>
      <c r="R205" t="b">
        <v>0</v>
      </c>
      <c r="S205" t="inlineStr">
        <is>
          <t xml:space="preserve"> </t>
        </is>
      </c>
      <c r="T205" t="n">
        <v>0</v>
      </c>
    </row>
    <row r="206">
      <c r="A206" t="inlineStr">
        <is>
          <t>indicator_header</t>
        </is>
      </c>
      <c r="B206" t="n">
        <v>69</v>
      </c>
      <c r="C206" t="inlineStr">
        <is>
          <t>T</t>
        </is>
      </c>
      <c r="D206" t="n">
        <v>14</v>
      </c>
      <c r="E206" t="n">
        <v>20</v>
      </c>
      <c r="F206" t="n">
        <v>196</v>
      </c>
      <c r="G206" t="n">
        <v>25</v>
      </c>
      <c r="H206" t="inlineStr">
        <is>
          <t>custom</t>
        </is>
      </c>
      <c r="I206" t="n">
        <v>14</v>
      </c>
      <c r="J206" t="n">
        <v>1</v>
      </c>
      <c r="K206" t="n">
        <v>0</v>
      </c>
      <c r="L206" t="n">
        <v>0</v>
      </c>
      <c r="N206" t="inlineStr">
        <is>
          <t>FFFFFF</t>
        </is>
      </c>
      <c r="O206" t="inlineStr">
        <is>
          <t>L</t>
        </is>
      </c>
      <c r="Q206" t="n">
        <v>2</v>
      </c>
      <c r="R206" t="b">
        <v>0</v>
      </c>
      <c r="S206" t="inlineStr">
        <is>
          <t xml:space="preserve"> </t>
        </is>
      </c>
      <c r="T206" t="n">
        <v>0</v>
      </c>
    </row>
    <row r="207">
      <c r="A207" t="inlineStr">
        <is>
          <t>indicator_description</t>
        </is>
      </c>
      <c r="B207" t="n">
        <v>69</v>
      </c>
      <c r="C207" t="inlineStr">
        <is>
          <t>T</t>
        </is>
      </c>
      <c r="D207" t="n">
        <v>14</v>
      </c>
      <c r="E207" t="n">
        <v>33</v>
      </c>
      <c r="F207" t="n">
        <v>196</v>
      </c>
      <c r="G207" t="n">
        <v>38</v>
      </c>
      <c r="H207" t="inlineStr">
        <is>
          <t>custom</t>
        </is>
      </c>
      <c r="I207" t="n">
        <v>12</v>
      </c>
      <c r="J207" t="n">
        <v>0</v>
      </c>
      <c r="K207" t="n">
        <v>0</v>
      </c>
      <c r="L207" t="n">
        <v>0</v>
      </c>
      <c r="N207" t="inlineStr">
        <is>
          <t>FFFFFF</t>
        </is>
      </c>
      <c r="O207" t="inlineStr">
        <is>
          <t>L</t>
        </is>
      </c>
      <c r="Q207" t="n">
        <v>2</v>
      </c>
      <c r="R207" t="b">
        <v>1</v>
      </c>
      <c r="S207" t="inlineStr">
        <is>
          <t xml:space="preserve"> </t>
        </is>
      </c>
      <c r="T207" t="n">
        <v>0</v>
      </c>
    </row>
    <row r="208">
      <c r="A208" t="inlineStr">
        <is>
          <t>indicator_map</t>
        </is>
      </c>
      <c r="B208" t="n">
        <v>69</v>
      </c>
      <c r="C208" t="inlineStr">
        <is>
          <t>I</t>
        </is>
      </c>
      <c r="D208" t="n">
        <v>14</v>
      </c>
      <c r="E208" t="n">
        <v>80</v>
      </c>
      <c r="F208" t="n">
        <v>196</v>
      </c>
      <c r="G208" t="n">
        <v>245</v>
      </c>
      <c r="I208" t="n">
        <v>0</v>
      </c>
      <c r="J208" t="n">
        <v>0</v>
      </c>
      <c r="K208" t="n">
        <v>0</v>
      </c>
      <c r="L208" t="n">
        <v>0</v>
      </c>
      <c r="N208" t="inlineStr">
        <is>
          <t>FFFFFF</t>
        </is>
      </c>
      <c r="O208" t="inlineStr">
        <is>
          <t>L</t>
        </is>
      </c>
      <c r="Q208" t="n">
        <v>2</v>
      </c>
      <c r="R208" t="b">
        <v>0</v>
      </c>
      <c r="S208" t="inlineStr">
        <is>
          <t xml:space="preserve"> </t>
        </is>
      </c>
      <c r="T208" t="n">
        <v>0</v>
      </c>
    </row>
    <row r="209">
      <c r="A209" t="inlineStr">
        <is>
          <t>indicator_label</t>
        </is>
      </c>
      <c r="B209" t="n">
        <v>69</v>
      </c>
      <c r="C209" t="inlineStr">
        <is>
          <t>T</t>
        </is>
      </c>
      <c r="D209" t="n">
        <v>30</v>
      </c>
      <c r="E209" t="n">
        <v>253</v>
      </c>
      <c r="F209" t="n">
        <v>180</v>
      </c>
      <c r="G209" t="n">
        <v>261</v>
      </c>
      <c r="H209" t="inlineStr">
        <is>
          <t>custom</t>
        </is>
      </c>
      <c r="I209" t="n">
        <v>16</v>
      </c>
      <c r="J209" t="n">
        <v>0</v>
      </c>
      <c r="K209" t="n">
        <v>0</v>
      </c>
      <c r="L209" t="n">
        <v>0</v>
      </c>
      <c r="M209" t="inlineStr">
        <is>
          <t>584b9f</t>
        </is>
      </c>
      <c r="N209" t="inlineStr">
        <is>
          <t>FFFFFF</t>
        </is>
      </c>
      <c r="O209" t="inlineStr">
        <is>
          <t>C</t>
        </is>
      </c>
      <c r="Q209" t="n">
        <v>2</v>
      </c>
      <c r="R209" t="b">
        <v>1</v>
      </c>
      <c r="S209" t="inlineStr">
        <is>
          <t xml:space="preserve"> </t>
        </is>
      </c>
      <c r="T209" t="n">
        <v>0</v>
      </c>
    </row>
    <row r="210">
      <c r="A210" t="inlineStr">
        <is>
          <t>indicator_header</t>
        </is>
      </c>
      <c r="B210" t="n">
        <v>70</v>
      </c>
      <c r="C210" t="inlineStr">
        <is>
          <t>T</t>
        </is>
      </c>
      <c r="D210" t="n">
        <v>14</v>
      </c>
      <c r="E210" t="n">
        <v>20</v>
      </c>
      <c r="F210" t="n">
        <v>196</v>
      </c>
      <c r="G210" t="n">
        <v>25</v>
      </c>
      <c r="H210" t="inlineStr">
        <is>
          <t>custom</t>
        </is>
      </c>
      <c r="I210" t="n">
        <v>14</v>
      </c>
      <c r="J210" t="n">
        <v>1</v>
      </c>
      <c r="K210" t="n">
        <v>0</v>
      </c>
      <c r="L210" t="n">
        <v>0</v>
      </c>
      <c r="N210" t="inlineStr">
        <is>
          <t>FFFFFF</t>
        </is>
      </c>
      <c r="O210" t="inlineStr">
        <is>
          <t>L</t>
        </is>
      </c>
      <c r="Q210" t="n">
        <v>3</v>
      </c>
      <c r="R210" t="b">
        <v>1</v>
      </c>
      <c r="S210" t="inlineStr">
        <is>
          <t xml:space="preserve"> </t>
        </is>
      </c>
      <c r="T210" t="n">
        <v>0</v>
      </c>
    </row>
    <row r="211">
      <c r="A211" t="inlineStr">
        <is>
          <t>walkability_description</t>
        </is>
      </c>
      <c r="B211" t="n">
        <v>70</v>
      </c>
      <c r="C211" t="inlineStr">
        <is>
          <t>T</t>
        </is>
      </c>
      <c r="D211" t="n">
        <v>14</v>
      </c>
      <c r="E211" t="n">
        <v>33</v>
      </c>
      <c r="F211" t="n">
        <v>180</v>
      </c>
      <c r="G211" t="n">
        <v>38</v>
      </c>
      <c r="H211" t="inlineStr">
        <is>
          <t>custom</t>
        </is>
      </c>
      <c r="I211" t="n">
        <v>12</v>
      </c>
      <c r="J211" t="n">
        <v>0</v>
      </c>
      <c r="K211" t="n">
        <v>0</v>
      </c>
      <c r="L211" t="n">
        <v>0</v>
      </c>
      <c r="N211" t="inlineStr">
        <is>
          <t>FFFFFF</t>
        </is>
      </c>
      <c r="O211" t="inlineStr">
        <is>
          <t>L</t>
        </is>
      </c>
      <c r="Q211" t="n">
        <v>1</v>
      </c>
      <c r="R211" t="b">
        <v>1</v>
      </c>
      <c r="S211" t="inlineStr">
        <is>
          <t xml:space="preserve"> </t>
        </is>
      </c>
      <c r="T211" t="n">
        <v>0</v>
      </c>
    </row>
    <row r="212">
      <c r="A212" t="inlineStr">
        <is>
          <t>Neighbourhood walkability relative to 25 cities internationally</t>
        </is>
      </c>
      <c r="B212" t="n">
        <v>70</v>
      </c>
      <c r="C212" t="inlineStr">
        <is>
          <t>T</t>
        </is>
      </c>
      <c r="D212" t="n">
        <v>14</v>
      </c>
      <c r="E212" t="n">
        <v>85</v>
      </c>
      <c r="F212" t="n">
        <v>205</v>
      </c>
      <c r="G212" t="n">
        <v>90</v>
      </c>
      <c r="H212" t="inlineStr">
        <is>
          <t>custom</t>
        </is>
      </c>
      <c r="I212" t="n">
        <v>12</v>
      </c>
      <c r="J212" t="n">
        <v>1</v>
      </c>
      <c r="K212" t="n">
        <v>0</v>
      </c>
      <c r="L212" t="n">
        <v>0</v>
      </c>
      <c r="N212" t="inlineStr">
        <is>
          <t>FFFFFF</t>
        </is>
      </c>
      <c r="O212" t="inlineStr">
        <is>
          <t>L</t>
        </is>
      </c>
      <c r="Q212" t="n">
        <v>3</v>
      </c>
      <c r="R212" t="b">
        <v>1</v>
      </c>
      <c r="S212" t="inlineStr">
        <is>
          <t xml:space="preserve"> </t>
        </is>
      </c>
      <c r="T212" t="n">
        <v>0</v>
      </c>
    </row>
    <row r="213">
      <c r="A213" t="inlineStr">
        <is>
          <t>all_cities_walkability</t>
        </is>
      </c>
      <c r="B213" t="n">
        <v>70</v>
      </c>
      <c r="C213" t="inlineStr">
        <is>
          <t>I</t>
        </is>
      </c>
      <c r="D213" t="n">
        <v>20</v>
      </c>
      <c r="E213" t="n">
        <v>94</v>
      </c>
      <c r="F213" t="n">
        <v>190</v>
      </c>
      <c r="G213" t="n">
        <v>248</v>
      </c>
      <c r="I213" t="n">
        <v>0</v>
      </c>
      <c r="J213" t="n">
        <v>0</v>
      </c>
      <c r="K213" t="n">
        <v>0</v>
      </c>
      <c r="L213" t="n">
        <v>0</v>
      </c>
      <c r="N213" t="inlineStr">
        <is>
          <t>FFFFFF</t>
        </is>
      </c>
      <c r="O213" t="inlineStr">
        <is>
          <t>L</t>
        </is>
      </c>
      <c r="Q213" t="n">
        <v>2</v>
      </c>
      <c r="R213" t="b">
        <v>0</v>
      </c>
      <c r="S213" t="inlineStr">
        <is>
          <t xml:space="preserve"> </t>
        </is>
      </c>
      <c r="T213" t="n">
        <v>0</v>
      </c>
    </row>
    <row r="214">
      <c r="A214" t="inlineStr">
        <is>
          <t>walkability_above_median_pct</t>
        </is>
      </c>
      <c r="B214" t="n">
        <v>70</v>
      </c>
      <c r="C214" t="inlineStr">
        <is>
          <t>T</t>
        </is>
      </c>
      <c r="D214" t="n">
        <v>14</v>
      </c>
      <c r="E214" t="n">
        <v>252</v>
      </c>
      <c r="F214" t="n">
        <v>180</v>
      </c>
      <c r="G214" t="n">
        <v>260</v>
      </c>
      <c r="H214" t="inlineStr">
        <is>
          <t>custom</t>
        </is>
      </c>
      <c r="I214" t="n">
        <v>14</v>
      </c>
      <c r="J214" t="n">
        <v>0</v>
      </c>
      <c r="K214" t="n">
        <v>0</v>
      </c>
      <c r="L214" t="n">
        <v>0</v>
      </c>
      <c r="M214" t="inlineStr">
        <is>
          <t>584b9f</t>
        </is>
      </c>
      <c r="N214" t="inlineStr">
        <is>
          <t>FFFFFF</t>
        </is>
      </c>
      <c r="O214" t="inlineStr">
        <is>
          <t>C</t>
        </is>
      </c>
      <c r="Q214" t="n">
        <v>3</v>
      </c>
      <c r="R214" t="b">
        <v>1</v>
      </c>
      <c r="S214" t="inlineStr">
        <is>
          <t xml:space="preserve"> </t>
        </is>
      </c>
      <c r="T214" t="n">
        <v>0</v>
      </c>
    </row>
    <row r="215">
      <c r="A215" t="inlineStr">
        <is>
          <t>population_caption</t>
        </is>
      </c>
      <c r="B215" t="n">
        <v>70</v>
      </c>
      <c r="C215" t="inlineStr">
        <is>
          <t>T</t>
        </is>
      </c>
      <c r="D215" t="n">
        <v>14</v>
      </c>
      <c r="E215" t="n">
        <v>278</v>
      </c>
      <c r="F215" t="n">
        <v>181</v>
      </c>
      <c r="G215" t="n">
        <v>283</v>
      </c>
      <c r="H215" t="inlineStr">
        <is>
          <t>custom</t>
        </is>
      </c>
      <c r="I215" t="n">
        <v>8</v>
      </c>
      <c r="J215" t="n">
        <v>0</v>
      </c>
      <c r="K215" t="n">
        <v>0</v>
      </c>
      <c r="L215" t="n">
        <v>0</v>
      </c>
      <c r="M215" t="inlineStr">
        <is>
          <t>584b9f</t>
        </is>
      </c>
      <c r="N215" t="inlineStr">
        <is>
          <t>FFFFFF</t>
        </is>
      </c>
      <c r="O215" t="inlineStr">
        <is>
          <t>L</t>
        </is>
      </c>
      <c r="Q215" t="n">
        <v>3</v>
      </c>
      <c r="R215" t="b">
        <v>1</v>
      </c>
      <c r="T215" t="n">
        <v>0</v>
      </c>
    </row>
    <row r="216">
      <c r="A216" t="inlineStr">
        <is>
          <t>title_city</t>
        </is>
      </c>
      <c r="B216" t="n">
        <v>71</v>
      </c>
      <c r="C216" t="inlineStr">
        <is>
          <t>T</t>
        </is>
      </c>
      <c r="D216" t="n">
        <v>0</v>
      </c>
      <c r="E216" t="n">
        <v>10</v>
      </c>
      <c r="F216" t="n">
        <v>200</v>
      </c>
      <c r="G216" t="n">
        <v>13</v>
      </c>
      <c r="H216" t="inlineStr">
        <is>
          <t>custom</t>
        </is>
      </c>
      <c r="I216" t="n">
        <v>10</v>
      </c>
      <c r="J216" t="n">
        <v>1</v>
      </c>
      <c r="K216" t="n">
        <v>0</v>
      </c>
      <c r="L216" t="n">
        <v>0</v>
      </c>
      <c r="M216" t="inlineStr">
        <is>
          <t>584b9f</t>
        </is>
      </c>
      <c r="N216" t="inlineStr">
        <is>
          <t>FFFFFF</t>
        </is>
      </c>
      <c r="O216" t="inlineStr">
        <is>
          <t>R</t>
        </is>
      </c>
      <c r="Q216" t="n">
        <v>5</v>
      </c>
      <c r="R216" t="b">
        <v>0</v>
      </c>
      <c r="S216" t="inlineStr">
        <is>
          <t xml:space="preserve"> </t>
        </is>
      </c>
      <c r="T216" t="n">
        <v>0</v>
      </c>
    </row>
    <row r="217">
      <c r="A217" t="inlineStr">
        <is>
          <t>indicator_header</t>
        </is>
      </c>
      <c r="B217" t="n">
        <v>71</v>
      </c>
      <c r="C217" t="inlineStr">
        <is>
          <t>T</t>
        </is>
      </c>
      <c r="D217" t="n">
        <v>14</v>
      </c>
      <c r="E217" t="n">
        <v>20</v>
      </c>
      <c r="F217" t="n">
        <v>196</v>
      </c>
      <c r="G217" t="n">
        <v>25</v>
      </c>
      <c r="H217" t="inlineStr">
        <is>
          <t>custom</t>
        </is>
      </c>
      <c r="I217" t="n">
        <v>14</v>
      </c>
      <c r="J217" t="n">
        <v>1</v>
      </c>
      <c r="K217" t="n">
        <v>0</v>
      </c>
      <c r="L217" t="n">
        <v>0</v>
      </c>
      <c r="N217" t="inlineStr">
        <is>
          <t>FFFFFF</t>
        </is>
      </c>
      <c r="O217" t="inlineStr">
        <is>
          <t>L</t>
        </is>
      </c>
      <c r="Q217" t="n">
        <v>2</v>
      </c>
      <c r="R217" t="b">
        <v>0</v>
      </c>
      <c r="S217" t="inlineStr">
        <is>
          <t xml:space="preserve"> </t>
        </is>
      </c>
      <c r="T217" t="n">
        <v>0</v>
      </c>
    </row>
    <row r="218">
      <c r="A218" t="inlineStr">
        <is>
          <t>indicator_description</t>
        </is>
      </c>
      <c r="B218" t="n">
        <v>71</v>
      </c>
      <c r="C218" t="inlineStr">
        <is>
          <t>T</t>
        </is>
      </c>
      <c r="D218" t="n">
        <v>14</v>
      </c>
      <c r="E218" t="n">
        <v>33</v>
      </c>
      <c r="F218" t="n">
        <v>196</v>
      </c>
      <c r="G218" t="n">
        <v>38</v>
      </c>
      <c r="H218" t="inlineStr">
        <is>
          <t>custom</t>
        </is>
      </c>
      <c r="I218" t="n">
        <v>12</v>
      </c>
      <c r="J218" t="n">
        <v>0</v>
      </c>
      <c r="K218" t="n">
        <v>0</v>
      </c>
      <c r="L218" t="n">
        <v>0</v>
      </c>
      <c r="N218" t="inlineStr">
        <is>
          <t>FFFFFF</t>
        </is>
      </c>
      <c r="O218" t="inlineStr">
        <is>
          <t>L</t>
        </is>
      </c>
      <c r="Q218" t="n">
        <v>2</v>
      </c>
      <c r="R218" t="b">
        <v>1</v>
      </c>
      <c r="S218" t="inlineStr">
        <is>
          <t xml:space="preserve"> </t>
        </is>
      </c>
      <c r="T218" t="n">
        <v>0</v>
      </c>
    </row>
    <row r="219">
      <c r="A219" t="inlineStr">
        <is>
          <t>indicator_map</t>
        </is>
      </c>
      <c r="B219" t="n">
        <v>71</v>
      </c>
      <c r="C219" t="inlineStr">
        <is>
          <t>I</t>
        </is>
      </c>
      <c r="D219" t="n">
        <v>14</v>
      </c>
      <c r="E219" t="n">
        <v>80</v>
      </c>
      <c r="F219" t="n">
        <v>196</v>
      </c>
      <c r="G219" t="n">
        <v>245</v>
      </c>
      <c r="I219" t="n">
        <v>0</v>
      </c>
      <c r="J219" t="n">
        <v>0</v>
      </c>
      <c r="K219" t="n">
        <v>0</v>
      </c>
      <c r="L219" t="n">
        <v>0</v>
      </c>
      <c r="N219" t="inlineStr">
        <is>
          <t>FFFFFF</t>
        </is>
      </c>
      <c r="O219" t="inlineStr">
        <is>
          <t>L</t>
        </is>
      </c>
      <c r="Q219" t="n">
        <v>2</v>
      </c>
      <c r="R219" t="b">
        <v>0</v>
      </c>
      <c r="S219" t="inlineStr">
        <is>
          <t xml:space="preserve"> </t>
        </is>
      </c>
      <c r="T219" t="n">
        <v>0</v>
      </c>
    </row>
    <row r="220">
      <c r="A220" t="inlineStr">
        <is>
          <t>indicator_label</t>
        </is>
      </c>
      <c r="B220" t="n">
        <v>71</v>
      </c>
      <c r="C220" t="inlineStr">
        <is>
          <t>T</t>
        </is>
      </c>
      <c r="D220" t="n">
        <v>30</v>
      </c>
      <c r="E220" t="n">
        <v>253</v>
      </c>
      <c r="F220" t="n">
        <v>180</v>
      </c>
      <c r="G220" t="n">
        <v>261</v>
      </c>
      <c r="H220" t="inlineStr">
        <is>
          <t>custom</t>
        </is>
      </c>
      <c r="I220" t="n">
        <v>16</v>
      </c>
      <c r="J220" t="n">
        <v>0</v>
      </c>
      <c r="K220" t="n">
        <v>0</v>
      </c>
      <c r="L220" t="n">
        <v>0</v>
      </c>
      <c r="M220" t="inlineStr">
        <is>
          <t>584b9f</t>
        </is>
      </c>
      <c r="N220" t="inlineStr">
        <is>
          <t>FFFFFF</t>
        </is>
      </c>
      <c r="O220" t="inlineStr">
        <is>
          <t>C</t>
        </is>
      </c>
      <c r="Q220" t="n">
        <v>2</v>
      </c>
      <c r="R220" t="b">
        <v>1</v>
      </c>
      <c r="S220" t="inlineStr">
        <is>
          <t xml:space="preserve"> </t>
        </is>
      </c>
      <c r="T220" t="n">
        <v>0</v>
      </c>
    </row>
    <row r="221">
      <c r="A221" t="inlineStr">
        <is>
          <t>title_city</t>
        </is>
      </c>
      <c r="B221" t="n">
        <v>72</v>
      </c>
      <c r="C221" t="inlineStr">
        <is>
          <t>T</t>
        </is>
      </c>
      <c r="D221" t="n">
        <v>0</v>
      </c>
      <c r="E221" t="n">
        <v>10</v>
      </c>
      <c r="F221" t="n">
        <v>200</v>
      </c>
      <c r="G221" t="n">
        <v>13</v>
      </c>
      <c r="H221" t="inlineStr">
        <is>
          <t>custom</t>
        </is>
      </c>
      <c r="I221" t="n">
        <v>10</v>
      </c>
      <c r="J221" t="n">
        <v>1</v>
      </c>
      <c r="K221" t="n">
        <v>0</v>
      </c>
      <c r="L221" t="n">
        <v>0</v>
      </c>
      <c r="M221" t="inlineStr">
        <is>
          <t>584b9f</t>
        </is>
      </c>
      <c r="N221" t="inlineStr">
        <is>
          <t>FFFFFF</t>
        </is>
      </c>
      <c r="O221" t="inlineStr">
        <is>
          <t>R</t>
        </is>
      </c>
      <c r="Q221" t="n">
        <v>5</v>
      </c>
      <c r="R221" t="b">
        <v>0</v>
      </c>
      <c r="S221" t="inlineStr">
        <is>
          <t xml:space="preserve"> </t>
        </is>
      </c>
      <c r="T221" t="n">
        <v>0</v>
      </c>
    </row>
    <row r="222">
      <c r="A222" t="inlineStr">
        <is>
          <t>indicator_header</t>
        </is>
      </c>
      <c r="B222" t="n">
        <v>72</v>
      </c>
      <c r="C222" t="inlineStr">
        <is>
          <t>T</t>
        </is>
      </c>
      <c r="D222" t="n">
        <v>14</v>
      </c>
      <c r="E222" t="n">
        <v>20</v>
      </c>
      <c r="F222" t="n">
        <v>196</v>
      </c>
      <c r="G222" t="n">
        <v>25</v>
      </c>
      <c r="H222" t="inlineStr">
        <is>
          <t>custom</t>
        </is>
      </c>
      <c r="I222" t="n">
        <v>14</v>
      </c>
      <c r="J222" t="n">
        <v>1</v>
      </c>
      <c r="K222" t="n">
        <v>0</v>
      </c>
      <c r="L222" t="n">
        <v>0</v>
      </c>
      <c r="N222" t="inlineStr">
        <is>
          <t>FFFFFF</t>
        </is>
      </c>
      <c r="O222" t="inlineStr">
        <is>
          <t>L</t>
        </is>
      </c>
      <c r="Q222" t="n">
        <v>2</v>
      </c>
      <c r="R222" t="b">
        <v>0</v>
      </c>
      <c r="S222" t="inlineStr">
        <is>
          <t xml:space="preserve"> </t>
        </is>
      </c>
      <c r="T222" t="n">
        <v>0</v>
      </c>
    </row>
    <row r="223">
      <c r="A223" t="inlineStr">
        <is>
          <t>indicator_description</t>
        </is>
      </c>
      <c r="B223" t="n">
        <v>72</v>
      </c>
      <c r="C223" t="inlineStr">
        <is>
          <t>T</t>
        </is>
      </c>
      <c r="D223" t="n">
        <v>14</v>
      </c>
      <c r="E223" t="n">
        <v>33</v>
      </c>
      <c r="F223" t="n">
        <v>196</v>
      </c>
      <c r="G223" t="n">
        <v>38</v>
      </c>
      <c r="H223" t="inlineStr">
        <is>
          <t>custom</t>
        </is>
      </c>
      <c r="I223" t="n">
        <v>12</v>
      </c>
      <c r="J223" t="n">
        <v>0</v>
      </c>
      <c r="K223" t="n">
        <v>0</v>
      </c>
      <c r="L223" t="n">
        <v>0</v>
      </c>
      <c r="N223" t="inlineStr">
        <is>
          <t>FFFFFF</t>
        </is>
      </c>
      <c r="O223" t="inlineStr">
        <is>
          <t>L</t>
        </is>
      </c>
      <c r="Q223" t="n">
        <v>2</v>
      </c>
      <c r="R223" t="b">
        <v>1</v>
      </c>
      <c r="S223" t="inlineStr">
        <is>
          <t xml:space="preserve"> </t>
        </is>
      </c>
      <c r="T223" t="n">
        <v>0</v>
      </c>
    </row>
    <row r="224">
      <c r="A224" t="inlineStr">
        <is>
          <t>indicator_map</t>
        </is>
      </c>
      <c r="B224" t="n">
        <v>72</v>
      </c>
      <c r="C224" t="inlineStr">
        <is>
          <t>I</t>
        </is>
      </c>
      <c r="D224" t="n">
        <v>14</v>
      </c>
      <c r="E224" t="n">
        <v>80</v>
      </c>
      <c r="F224" t="n">
        <v>196</v>
      </c>
      <c r="G224" t="n">
        <v>245</v>
      </c>
      <c r="I224" t="n">
        <v>0</v>
      </c>
      <c r="J224" t="n">
        <v>0</v>
      </c>
      <c r="K224" t="n">
        <v>0</v>
      </c>
      <c r="L224" t="n">
        <v>0</v>
      </c>
      <c r="N224" t="inlineStr">
        <is>
          <t>FFFFFF</t>
        </is>
      </c>
      <c r="O224" t="inlineStr">
        <is>
          <t>L</t>
        </is>
      </c>
      <c r="Q224" t="n">
        <v>2</v>
      </c>
      <c r="R224" t="b">
        <v>0</v>
      </c>
      <c r="S224" t="inlineStr">
        <is>
          <t xml:space="preserve"> </t>
        </is>
      </c>
      <c r="T224" t="n">
        <v>0</v>
      </c>
    </row>
    <row r="225">
      <c r="A225" t="inlineStr">
        <is>
          <t>indicator_label</t>
        </is>
      </c>
      <c r="B225" t="n">
        <v>72</v>
      </c>
      <c r="C225" t="inlineStr">
        <is>
          <t>T</t>
        </is>
      </c>
      <c r="D225" t="n">
        <v>30</v>
      </c>
      <c r="E225" t="n">
        <v>253</v>
      </c>
      <c r="F225" t="n">
        <v>180</v>
      </c>
      <c r="G225" t="n">
        <v>261</v>
      </c>
      <c r="H225" t="inlineStr">
        <is>
          <t>custom</t>
        </is>
      </c>
      <c r="I225" t="n">
        <v>16</v>
      </c>
      <c r="J225" t="n">
        <v>0</v>
      </c>
      <c r="K225" t="n">
        <v>0</v>
      </c>
      <c r="L225" t="n">
        <v>0</v>
      </c>
      <c r="M225" t="inlineStr">
        <is>
          <t>584b9f</t>
        </is>
      </c>
      <c r="N225" t="inlineStr">
        <is>
          <t>FFFFFF</t>
        </is>
      </c>
      <c r="O225" t="inlineStr">
        <is>
          <t>C</t>
        </is>
      </c>
      <c r="Q225" t="n">
        <v>2</v>
      </c>
      <c r="R225" t="b">
        <v>1</v>
      </c>
      <c r="S225" t="inlineStr">
        <is>
          <t xml:space="preserve"> </t>
        </is>
      </c>
      <c r="T225" t="n">
        <v>0</v>
      </c>
    </row>
  </sheetData>
  <autoFilter ref="A1:T48"/>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G19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baseColWidth="8" defaultColWidth="9.140625" defaultRowHeight="15"/>
  <cols>
    <col width="13.7109375" customWidth="1" style="15" min="1" max="1"/>
    <col width="38" customWidth="1" style="15" min="2" max="2"/>
    <col width="52.85546875" customWidth="1" style="3" min="3" max="3"/>
    <col width="48" customWidth="1" style="3" min="4" max="33"/>
    <col width="9.140625" customWidth="1" style="3" min="34" max="16384"/>
  </cols>
  <sheetData>
    <row r="1" customFormat="1" s="14">
      <c r="A1" s="13" t="inlineStr">
        <is>
          <t>role</t>
        </is>
      </c>
      <c r="B1" s="13" t="inlineStr">
        <is>
          <t>name</t>
        </is>
      </c>
      <c r="C1" s="6" t="inlineStr">
        <is>
          <t>English</t>
        </is>
      </c>
      <c r="D1" s="7" t="inlineStr">
        <is>
          <t>Arabic</t>
        </is>
      </c>
      <c r="E1" s="7" t="inlineStr">
        <is>
          <t>Catalan</t>
        </is>
      </c>
      <c r="F1" s="6" t="inlineStr">
        <is>
          <t>Chinese - Simplified</t>
        </is>
      </c>
      <c r="G1" s="6" t="inlineStr">
        <is>
          <t>Chinese - Traditional</t>
        </is>
      </c>
      <c r="H1" s="7" t="inlineStr">
        <is>
          <t>Croation</t>
        </is>
      </c>
      <c r="I1" s="7" t="inlineStr">
        <is>
          <t>Czech</t>
        </is>
      </c>
      <c r="J1" s="7" t="inlineStr">
        <is>
          <t>Danish</t>
        </is>
      </c>
      <c r="K1" s="7" t="inlineStr">
        <is>
          <t>Dutch</t>
        </is>
      </c>
      <c r="L1" s="7" t="inlineStr">
        <is>
          <t>Finnish</t>
        </is>
      </c>
      <c r="M1" s="7" t="inlineStr">
        <is>
          <t>French</t>
        </is>
      </c>
      <c r="N1" s="7" t="inlineStr">
        <is>
          <t>German</t>
        </is>
      </c>
      <c r="O1" s="7" t="inlineStr">
        <is>
          <t>Greek</t>
        </is>
      </c>
      <c r="P1" s="7" t="inlineStr">
        <is>
          <t>Hausa</t>
        </is>
      </c>
      <c r="Q1" s="7" t="inlineStr">
        <is>
          <t>Hindi</t>
        </is>
      </c>
      <c r="R1" s="7" t="inlineStr">
        <is>
          <t>Indonesian</t>
        </is>
      </c>
      <c r="S1" s="7" t="inlineStr">
        <is>
          <t>Italian</t>
        </is>
      </c>
      <c r="T1" s="14" t="inlineStr">
        <is>
          <t>Japanese</t>
        </is>
      </c>
      <c r="U1" s="14" t="inlineStr">
        <is>
          <t>Korean</t>
        </is>
      </c>
      <c r="V1" s="14" t="inlineStr">
        <is>
          <t>Māori</t>
        </is>
      </c>
      <c r="W1" s="14" t="inlineStr">
        <is>
          <t>Nepali</t>
        </is>
      </c>
      <c r="X1" s="14" t="inlineStr">
        <is>
          <t>Persian</t>
        </is>
      </c>
      <c r="Y1" s="14" t="inlineStr">
        <is>
          <t>Portuguese - Brazil</t>
        </is>
      </c>
      <c r="Z1" s="14" t="inlineStr">
        <is>
          <t>Portuguese - Portugal</t>
        </is>
      </c>
      <c r="AA1" s="14" t="inlineStr">
        <is>
          <t>Spanish - Latin America</t>
        </is>
      </c>
      <c r="AB1" s="14" t="inlineStr">
        <is>
          <t>Spanish - Spain</t>
        </is>
      </c>
      <c r="AC1" s="14" t="inlineStr">
        <is>
          <t>Tamil</t>
        </is>
      </c>
      <c r="AD1" s="14" t="inlineStr">
        <is>
          <t>Thai</t>
        </is>
      </c>
      <c r="AE1" s="14" t="inlineStr">
        <is>
          <t>Turkish</t>
        </is>
      </c>
      <c r="AF1" s="14" t="inlineStr">
        <is>
          <t>Ukrainian</t>
        </is>
      </c>
      <c r="AG1" s="14" t="inlineStr">
        <is>
          <t>Vietnamese</t>
        </is>
      </c>
    </row>
    <row r="2">
      <c r="A2" s="15" t="inlineStr">
        <is>
          <t>template</t>
        </is>
      </c>
      <c r="B2" s="15" t="inlineStr">
        <is>
          <t>language</t>
        </is>
      </c>
      <c r="C2" s="12" t="inlineStr">
        <is>
          <t>English</t>
        </is>
      </c>
      <c r="D2" s="8" t="inlineStr">
        <is>
          <t>عربي</t>
        </is>
      </c>
      <c r="E2" s="8" t="inlineStr">
        <is>
          <t>Català</t>
        </is>
      </c>
      <c r="F2" s="12" t="inlineStr">
        <is>
          <t>简体中文</t>
        </is>
      </c>
      <c r="G2" s="8" t="inlineStr">
        <is>
          <t>繁體中文</t>
        </is>
      </c>
      <c r="H2" s="8" t="inlineStr">
        <is>
          <t>Hrvatski</t>
        </is>
      </c>
      <c r="I2" s="8" t="inlineStr">
        <is>
          <t>Čeština</t>
        </is>
      </c>
      <c r="J2" s="8" t="inlineStr">
        <is>
          <t>Dansk</t>
        </is>
      </c>
      <c r="K2" s="8" t="inlineStr">
        <is>
          <t>Nederlands</t>
        </is>
      </c>
      <c r="L2" s="8" t="inlineStr">
        <is>
          <t>Suomi</t>
        </is>
      </c>
      <c r="M2" s="8" t="inlineStr">
        <is>
          <t>Française</t>
        </is>
      </c>
      <c r="N2" s="8" t="inlineStr">
        <is>
          <t>Deutsch</t>
        </is>
      </c>
      <c r="O2" s="8" t="inlineStr">
        <is>
          <t>Αγγλικά</t>
        </is>
      </c>
      <c r="P2" s="8" t="inlineStr">
        <is>
          <t>Hausa</t>
        </is>
      </c>
      <c r="Q2" s="8" t="inlineStr">
        <is>
          <t>हिंदी</t>
        </is>
      </c>
      <c r="R2" s="8" t="inlineStr">
        <is>
          <t>bahasa Indonesia</t>
        </is>
      </c>
      <c r="S2" s="8" t="inlineStr">
        <is>
          <t>Italiano</t>
        </is>
      </c>
      <c r="T2" s="3" t="inlineStr">
        <is>
          <t>日本語</t>
        </is>
      </c>
      <c r="U2" s="3" t="inlineStr">
        <is>
          <t>한국인</t>
        </is>
      </c>
      <c r="V2" s="3" t="inlineStr">
        <is>
          <t>Māori</t>
        </is>
      </c>
      <c r="W2" s="3" t="inlineStr">
        <is>
          <t>नेपाली</t>
        </is>
      </c>
      <c r="X2" s="44" t="inlineStr">
        <is>
          <t>فارسی</t>
        </is>
      </c>
      <c r="Y2" s="3" t="inlineStr">
        <is>
          <t>Português do Brasil</t>
        </is>
      </c>
      <c r="Z2" s="3" t="inlineStr">
        <is>
          <t>Português de Portugal</t>
        </is>
      </c>
      <c r="AA2" s="3" t="inlineStr">
        <is>
          <t>Español de Latinoamerica</t>
        </is>
      </c>
      <c r="AB2" s="3" t="inlineStr">
        <is>
          <t>Español de España</t>
        </is>
      </c>
      <c r="AC2" s="3" t="inlineStr">
        <is>
          <t>தமிழ்</t>
        </is>
      </c>
      <c r="AD2" s="3" t="inlineStr">
        <is>
          <t>ภาษา​ไทย</t>
        </is>
      </c>
      <c r="AE2" s="3" t="inlineStr">
        <is>
          <t>Türkçe</t>
        </is>
      </c>
      <c r="AF2" s="3" t="inlineStr">
        <is>
          <t>Український</t>
        </is>
      </c>
      <c r="AG2" s="3" t="inlineStr">
        <is>
          <t xml:space="preserve">Tiếng Việt </t>
        </is>
      </c>
    </row>
    <row r="3">
      <c r="A3" s="15" t="inlineStr">
        <is>
          <t>template</t>
        </is>
      </c>
      <c r="B3" s="15" t="inlineStr">
        <is>
          <t>version_date</t>
        </is>
      </c>
      <c r="C3" s="43" t="n">
        <v>45714</v>
      </c>
      <c r="D3" s="43" t="n">
        <v>45714</v>
      </c>
      <c r="E3" s="43" t="n">
        <v>45714</v>
      </c>
      <c r="F3" s="43" t="n">
        <v>45714</v>
      </c>
      <c r="G3" s="43" t="n">
        <v>45714</v>
      </c>
      <c r="H3" s="43" t="n">
        <v>45714</v>
      </c>
      <c r="I3" s="43" t="n">
        <v>45714</v>
      </c>
      <c r="J3" s="43" t="n">
        <v>45714</v>
      </c>
      <c r="K3" s="43" t="n">
        <v>45714</v>
      </c>
      <c r="L3" s="43" t="n">
        <v>45714</v>
      </c>
      <c r="M3" s="43" t="n">
        <v>45714</v>
      </c>
      <c r="N3" s="43" t="n">
        <v>45714</v>
      </c>
      <c r="O3" s="43" t="n">
        <v>45714</v>
      </c>
      <c r="P3" s="43" t="n">
        <v>45714</v>
      </c>
      <c r="Q3" s="43" t="n">
        <v>45714</v>
      </c>
      <c r="R3" s="43" t="n">
        <v>45714</v>
      </c>
      <c r="S3" s="43" t="n">
        <v>45714</v>
      </c>
      <c r="T3" s="43" t="n">
        <v>45714</v>
      </c>
      <c r="U3" s="43" t="n">
        <v>45714</v>
      </c>
      <c r="V3" s="43" t="n">
        <v>45714</v>
      </c>
      <c r="W3" s="43" t="n">
        <v>45714</v>
      </c>
      <c r="X3" s="43" t="n">
        <v>45714</v>
      </c>
      <c r="Y3" s="43" t="n">
        <v>45714</v>
      </c>
      <c r="Z3" s="43" t="n">
        <v>45714</v>
      </c>
      <c r="AA3" s="43" t="n">
        <v>45714</v>
      </c>
      <c r="AB3" s="43" t="n">
        <v>45714</v>
      </c>
      <c r="AC3" s="43" t="n">
        <v>45714</v>
      </c>
      <c r="AD3" s="43" t="n">
        <v>45714</v>
      </c>
      <c r="AE3" s="43" t="n">
        <v>45714</v>
      </c>
      <c r="AF3" s="43" t="n">
        <v>45714</v>
      </c>
      <c r="AG3" s="43" t="n">
        <v>45714</v>
      </c>
    </row>
    <row r="4">
      <c r="A4" s="15" t="inlineStr">
        <is>
          <t>template</t>
        </is>
      </c>
      <c r="B4" s="15" t="inlineStr">
        <is>
          <t>validated</t>
        </is>
      </c>
      <c r="C4" s="19" t="n">
        <v>1</v>
      </c>
      <c r="D4" s="19" t="n">
        <v>0</v>
      </c>
      <c r="E4" s="19" t="n">
        <v>1</v>
      </c>
      <c r="F4" s="19" t="n">
        <v>1</v>
      </c>
      <c r="G4" s="19" t="n">
        <v>1</v>
      </c>
      <c r="H4" s="19" t="n">
        <v>0</v>
      </c>
      <c r="I4" s="19" t="n">
        <v>0</v>
      </c>
      <c r="J4" s="19" t="n">
        <v>0</v>
      </c>
      <c r="K4" s="19" t="n">
        <v>0</v>
      </c>
      <c r="L4" s="19" t="n">
        <v>0</v>
      </c>
      <c r="M4" s="19" t="n">
        <v>0</v>
      </c>
      <c r="N4" s="19" t="n">
        <v>0</v>
      </c>
      <c r="O4" s="19" t="n">
        <v>0</v>
      </c>
      <c r="P4" s="19" t="n">
        <v>0</v>
      </c>
      <c r="Q4" s="19" t="n">
        <v>0</v>
      </c>
      <c r="R4" s="19" t="n">
        <v>0</v>
      </c>
      <c r="S4" s="19" t="n">
        <v>1</v>
      </c>
      <c r="T4" s="42" t="n">
        <v>1</v>
      </c>
      <c r="U4" s="3" t="n">
        <v>0</v>
      </c>
      <c r="V4" s="3" t="n">
        <v>0</v>
      </c>
      <c r="W4" s="3" t="n">
        <v>0</v>
      </c>
      <c r="X4" s="44" t="n">
        <v>1</v>
      </c>
      <c r="Y4" s="3" t="n">
        <v>1</v>
      </c>
      <c r="Z4" s="3" t="n">
        <v>1</v>
      </c>
      <c r="AA4" s="3" t="n">
        <v>1</v>
      </c>
      <c r="AB4" s="3" t="n">
        <v>1</v>
      </c>
      <c r="AC4" s="3" t="n">
        <v>0</v>
      </c>
      <c r="AD4" s="3" t="n">
        <v>0</v>
      </c>
      <c r="AE4" s="3" t="n">
        <v>1</v>
      </c>
      <c r="AF4" s="3" t="n">
        <v>0</v>
      </c>
      <c r="AG4" s="3" t="n">
        <v>1</v>
      </c>
    </row>
    <row r="5">
      <c r="A5" s="15" t="inlineStr">
        <is>
          <t>template</t>
        </is>
      </c>
      <c r="B5" s="15" t="inlineStr">
        <is>
          <t>language_code</t>
        </is>
      </c>
      <c r="C5" s="12" t="inlineStr">
        <is>
          <t>en</t>
        </is>
      </c>
      <c r="D5" s="8" t="inlineStr">
        <is>
          <t>ar</t>
        </is>
      </c>
      <c r="E5" s="8" t="inlineStr">
        <is>
          <t>ca</t>
        </is>
      </c>
      <c r="F5" s="12" t="inlineStr">
        <is>
          <t>zh_Hans</t>
        </is>
      </c>
      <c r="G5" s="8" t="inlineStr">
        <is>
          <t>zh_Hant</t>
        </is>
      </c>
      <c r="H5" s="8" t="inlineStr">
        <is>
          <t>hr</t>
        </is>
      </c>
      <c r="I5" s="8" t="inlineStr">
        <is>
          <t>cs</t>
        </is>
      </c>
      <c r="J5" s="8" t="inlineStr">
        <is>
          <t>da</t>
        </is>
      </c>
      <c r="K5" s="8" t="inlineStr">
        <is>
          <t>nl</t>
        </is>
      </c>
      <c r="L5" s="8" t="inlineStr">
        <is>
          <t>fi</t>
        </is>
      </c>
      <c r="M5" s="8" t="inlineStr">
        <is>
          <t>fr</t>
        </is>
      </c>
      <c r="N5" s="8" t="inlineStr">
        <is>
          <t>de</t>
        </is>
      </c>
      <c r="O5" s="8" t="inlineStr">
        <is>
          <t>el</t>
        </is>
      </c>
      <c r="P5" s="8" t="inlineStr">
        <is>
          <t>ha</t>
        </is>
      </c>
      <c r="Q5" s="8" t="inlineStr">
        <is>
          <t>hi</t>
        </is>
      </c>
      <c r="R5" s="8" t="inlineStr">
        <is>
          <t>id</t>
        </is>
      </c>
      <c r="S5" s="8" t="inlineStr">
        <is>
          <t>it</t>
        </is>
      </c>
      <c r="T5" s="3" t="inlineStr">
        <is>
          <t>ja</t>
        </is>
      </c>
      <c r="U5" s="3" t="inlineStr">
        <is>
          <t>ko</t>
        </is>
      </c>
      <c r="V5" s="3" t="inlineStr">
        <is>
          <t>mi</t>
        </is>
      </c>
      <c r="W5" s="3" t="inlineStr">
        <is>
          <t>ne</t>
        </is>
      </c>
      <c r="X5" s="44" t="inlineStr">
        <is>
          <t>fa</t>
        </is>
      </c>
      <c r="Y5" s="3" t="inlineStr">
        <is>
          <t>pt</t>
        </is>
      </c>
      <c r="Z5" s="3" t="inlineStr">
        <is>
          <t>pt</t>
        </is>
      </c>
      <c r="AA5" s="3" t="inlineStr">
        <is>
          <t>es</t>
        </is>
      </c>
      <c r="AB5" s="3" t="inlineStr">
        <is>
          <t>es</t>
        </is>
      </c>
      <c r="AC5" s="3" t="inlineStr">
        <is>
          <t>ta</t>
        </is>
      </c>
      <c r="AD5" s="3" t="inlineStr">
        <is>
          <t>th</t>
        </is>
      </c>
      <c r="AE5" s="3" t="inlineStr">
        <is>
          <t>tr</t>
        </is>
      </c>
      <c r="AF5" s="3" t="inlineStr">
        <is>
          <t>en</t>
        </is>
      </c>
      <c r="AG5" s="3" t="inlineStr">
        <is>
          <t>vi</t>
        </is>
      </c>
    </row>
    <row r="6" ht="45" customHeight="1">
      <c r="A6" s="15" t="inlineStr">
        <is>
          <t>template</t>
        </is>
      </c>
      <c r="B6" s="15" t="inlineStr">
        <is>
          <t>title_series_line1</t>
        </is>
      </c>
      <c r="C6" s="9" t="inlineStr">
        <is>
          <t>1000 Cities Challenge report</t>
        </is>
      </c>
      <c r="D6" s="8" t="inlineStr">
        <is>
          <t>تقرير تحدي الألف مدينة</t>
        </is>
      </c>
      <c r="E6" s="8" t="inlineStr">
        <is>
          <t>Informe 1000 Cities Challenge</t>
        </is>
      </c>
      <c r="F6" s="9" t="inlineStr">
        <is>
          <t>1000 个城市挑战报告</t>
        </is>
      </c>
      <c r="G6" s="8" t="inlineStr">
        <is>
          <t>1000 個城市挑戰報告</t>
        </is>
      </c>
      <c r="H6" s="16" t="inlineStr">
        <is>
          <t>Izvješće 1000 Cities Challenge</t>
        </is>
      </c>
      <c r="I6" s="8" t="inlineStr">
        <is>
          <t>Zpráva 1000 Cities Challenge</t>
        </is>
      </c>
      <c r="J6" s="16" t="inlineStr">
        <is>
          <t>1000 Cities Challenge-rapport</t>
        </is>
      </c>
      <c r="K6" s="16" t="inlineStr">
        <is>
          <t>1000 Cities Challenge-rapport</t>
        </is>
      </c>
      <c r="L6" s="8" t="inlineStr">
        <is>
          <t>1000 Cities Challenge -raportti</t>
        </is>
      </c>
      <c r="M6" s="8" t="inlineStr">
        <is>
          <t>Rapport sur le Défi des 1000 villes</t>
        </is>
      </c>
      <c r="N6" s="8" t="inlineStr">
        <is>
          <t>Bericht zur 1000 Cities Challenge</t>
        </is>
      </c>
      <c r="O6" s="8" t="inlineStr">
        <is>
          <t>Έκθεση 1000 Cities Challenge</t>
        </is>
      </c>
      <c r="P6" s="8" t="inlineStr">
        <is>
          <t>Rahoton Kalubalen Birane 1000</t>
        </is>
      </c>
      <c r="Q6" s="8" t="inlineStr">
        <is>
          <t>1000 शहरों की चुनौती रिपोर्ट</t>
        </is>
      </c>
      <c r="R6" s="8" t="inlineStr">
        <is>
          <t>Laporan Tantangan 1000 Kota</t>
        </is>
      </c>
      <c r="S6" s="8" t="inlineStr">
        <is>
          <t>Rapporto sulla 1000 Cities Challenge</t>
        </is>
      </c>
      <c r="T6" s="3" t="inlineStr">
        <is>
          <t>1000 Cities Challenge レポート</t>
        </is>
      </c>
      <c r="U6" s="3" t="inlineStr">
        <is>
          <t>1000개 도시 챌린지 보고서</t>
        </is>
      </c>
      <c r="V6" s="3" t="inlineStr">
        <is>
          <t>1000 Cities Challenge report</t>
        </is>
      </c>
      <c r="W6" s="3" t="inlineStr">
        <is>
          <t>1000 शहर चुनौती रिपोर्ट</t>
        </is>
      </c>
      <c r="X6" s="44" t="inlineStr">
        <is>
          <t>گزارش چالش ۱۰۰۰ شهر</t>
        </is>
      </c>
      <c r="Y6" s="3" t="inlineStr">
        <is>
          <t>Relatório do Desafio 1000 Cidades</t>
        </is>
      </c>
      <c r="Z6" s="3" t="inlineStr">
        <is>
          <t>Relatório do Desafio 1000 Cidades</t>
        </is>
      </c>
      <c r="AA6" s="3" t="inlineStr">
        <is>
          <t>Reporte del Desafío de las 1000 Ciudades</t>
        </is>
      </c>
      <c r="AB6" s="3" t="inlineStr">
        <is>
          <t>Informe del Desafío de las 1000 Ciudades</t>
        </is>
      </c>
      <c r="AC6" s="3" t="inlineStr">
        <is>
          <t xml:space="preserve">
1000 நகரங்களின் சவால் அறிக்கை</t>
        </is>
      </c>
      <c r="AD6" s="3" t="inlineStr">
        <is>
          <t>รายงาน​ความ​ท้าทาย 1,000 เมือง</t>
        </is>
      </c>
      <c r="AE6" s="3" t="inlineStr">
        <is>
          <t>1000 Şehir Meydan Okuması raporu</t>
        </is>
      </c>
      <c r="AF6" s="3" t="inlineStr">
        <is>
          <t>Звіт 1000 Cities Challenge</t>
        </is>
      </c>
      <c r="AG6" s="3" t="inlineStr">
        <is>
          <t>Báo cáo Thử Thách 1000 Thành Phố</t>
        </is>
      </c>
    </row>
    <row r="7" ht="45" customHeight="1">
      <c r="A7" s="15" t="inlineStr">
        <is>
          <t>template</t>
        </is>
      </c>
      <c r="B7" s="15" t="inlineStr">
        <is>
          <t>policy indicators</t>
        </is>
      </c>
      <c r="C7" s="9" t="inlineStr">
        <is>
          <t>Policy indicators for healthy and sustainable cities</t>
        </is>
      </c>
      <c r="D7" s="8" t="inlineStr">
        <is>
          <t>مؤشرات السياسات من أجل مدن صحية ومستدامة</t>
        </is>
      </c>
      <c r="E7" s="8" t="inlineStr">
        <is>
          <t>Indicadors de polítiques per a ciutats saludables i sostenibles</t>
        </is>
      </c>
      <c r="F7" s="9" t="inlineStr">
        <is>
          <t>健康和可持续城市的政策指标</t>
        </is>
      </c>
      <c r="G7" s="8" t="inlineStr">
        <is>
          <t>健康與永續城市的政策指標</t>
        </is>
      </c>
      <c r="H7" s="16" t="inlineStr">
        <is>
          <t>Pokazatelji politike za zdrave i održive gradove</t>
        </is>
      </c>
      <c r="I7" s="8" t="inlineStr">
        <is>
          <t>Politické ukazatele pro zdravá a udržitelná města</t>
        </is>
      </c>
      <c r="J7" s="16" t="inlineStr">
        <is>
          <t>Politiske indikatorer for sunde og bæredygtige byer</t>
        </is>
      </c>
      <c r="K7" s="16" t="inlineStr">
        <is>
          <t>Beleidsindicatoren voor gezonde en duurzame steden</t>
        </is>
      </c>
      <c r="L7" s="8" t="inlineStr">
        <is>
          <t>Poliittisten ohjauskeinojen indikaattoreita terveellisille ja kestäville kaupungeille</t>
        </is>
      </c>
      <c r="M7" s="8" t="inlineStr">
        <is>
          <t>Indicateurs politiques pour des villes saines et durables</t>
        </is>
      </c>
      <c r="N7" s="8" t="inlineStr">
        <is>
          <t>Politische Indikatoren für gesunde und nachhaltige Städte</t>
        </is>
      </c>
      <c r="O7" s="8" t="inlineStr">
        <is>
          <t>Δείκτες πολιτικής για υγιείς και βιώσιμες πόλεις</t>
        </is>
      </c>
      <c r="P7" s="8" t="inlineStr">
        <is>
          <t>Manufofin manufofi don birane masu lafiya da dorewa</t>
        </is>
      </c>
      <c r="Q7" s="8" t="inlineStr">
        <is>
          <t>स्वस्थ और टिकाऊ शहरों के लिए नीति संकेतक</t>
        </is>
      </c>
      <c r="R7" s="8" t="inlineStr">
        <is>
          <t>Indikator kebijakan untuk kota yang sehat dan berkelanjutan</t>
        </is>
      </c>
      <c r="S7" s="8" t="inlineStr">
        <is>
          <t>Indicatori sulle politiche per città sane e sostenibili</t>
        </is>
      </c>
      <c r="T7" s="3" t="inlineStr">
        <is>
          <t>健康で持続可能な都市に向けた政策指標</t>
        </is>
      </c>
      <c r="U7" s="3" t="inlineStr">
        <is>
          <t>건강하고 지속가능한 도시를 위한 정책 지표</t>
        </is>
      </c>
      <c r="V7" s="3" t="inlineStr">
        <is>
          <t>Nga tohu kaupapa here mo nga taone hauora me te tauwhiro</t>
        </is>
      </c>
      <c r="W7" s="3" t="inlineStr">
        <is>
          <t>स्वस्थ र दिगो शहरहरूको लागि नीति सूचकहरू</t>
        </is>
      </c>
      <c r="X7" s="44" t="inlineStr">
        <is>
          <t>شاخص‌های سیاستی برای شهرهای سالم و پایدار</t>
        </is>
      </c>
      <c r="Y7" s="3" t="inlineStr">
        <is>
          <t>Indicadores de políticas públicas para cidades saudáveis e sustentáveis</t>
        </is>
      </c>
      <c r="Z7" s="3" t="inlineStr">
        <is>
          <t>Indicadores políticos para cidades saudáveis e sustentáveis</t>
        </is>
      </c>
      <c r="AA7" s="3" t="inlineStr">
        <is>
          <t>Indicadores de políticas para ciudades saludables y sostenibles</t>
        </is>
      </c>
      <c r="AB7" s="3" t="inlineStr">
        <is>
          <t>Indicadores de políticas para ciudades saludables y sostenibles</t>
        </is>
      </c>
      <c r="AC7" s="3" t="inlineStr">
        <is>
          <t>ஆரோக்கியமான மற்றும் நிலையான நகரங்களுக்கான கொள்கை குறிகாட்டிகள்</t>
        </is>
      </c>
      <c r="AD7" s="3" t="inlineStr">
        <is>
          <t>ตัว​ชี้​วัด​นโยบาย​เพื่อ​เมือง​ที่​มี​สุขภาพ​ดี​และ​ยั่งยืน</t>
        </is>
      </c>
      <c r="AE7" s="3" t="inlineStr">
        <is>
          <t>Sağlıklı ve sürdürülebilir şehirler için politika göstergeleri</t>
        </is>
      </c>
      <c r="AF7" s="3" t="inlineStr">
        <is>
          <t>Індикатори політики для здорових і сталих міст</t>
        </is>
      </c>
      <c r="AG7" s="3" t="inlineStr">
        <is>
          <t>Các chỉ số chính sách cho các thành phố lành mạnh và bền vững</t>
        </is>
      </c>
    </row>
    <row r="8" ht="45" customHeight="1">
      <c r="A8" s="15" t="inlineStr">
        <is>
          <t>template</t>
        </is>
      </c>
      <c r="B8" s="15" t="inlineStr">
        <is>
          <t>policy and spatial indicators</t>
        </is>
      </c>
      <c r="C8" s="9" t="inlineStr">
        <is>
          <t>Policy and spatial indicators for healthy and sustainable cities</t>
        </is>
      </c>
      <c r="D8" s="8" t="inlineStr">
        <is>
          <t>المؤشرات السياسية والمكانية لمدن صحية ومستدامة</t>
        </is>
      </c>
      <c r="E8" s="8" t="inlineStr">
        <is>
          <t>Indicadors de polítiques i espacials per a ciutats saludables i sostenibles</t>
        </is>
      </c>
      <c r="F8" s="9" t="inlineStr">
        <is>
          <t>健康和可持续城市的政策和空间指标</t>
        </is>
      </c>
      <c r="G8" s="8" t="inlineStr">
        <is>
          <t>健康與永續城市的政策和空間指標</t>
        </is>
      </c>
      <c r="H8" s="16" t="inlineStr">
        <is>
          <t>Politika i prostorni pokazatelji za zdrave i održive gradove</t>
        </is>
      </c>
      <c r="I8" s="8" t="inlineStr">
        <is>
          <t>Politické a prostorové indikátory pro zdravá a udržitelná města</t>
        </is>
      </c>
      <c r="J8" s="16" t="inlineStr">
        <is>
          <t>Politik og rumlige indikatorer for sunde og bæredygtige byer</t>
        </is>
      </c>
      <c r="K8" s="16" t="inlineStr">
        <is>
          <t>Beleids- en ruimtelijke indicatoren voor gezonde en duurzame steden</t>
        </is>
      </c>
      <c r="L8" s="8" t="inlineStr">
        <is>
          <t xml:space="preserve">Politiikka- ja paikkatietoindikaattoreita terveellisille ja kestäville kaupungeille </t>
        </is>
      </c>
      <c r="M8" s="8" t="inlineStr">
        <is>
          <t>Indicateurs politiques et spatiaux pour des villes saines et durables</t>
        </is>
      </c>
      <c r="N8" s="8" t="inlineStr">
        <is>
          <t>Politische und räumliche Indikatoren für gesunde und nachhaltige Städte</t>
        </is>
      </c>
      <c r="O8" s="8" t="inlineStr">
        <is>
          <t>Πολιτικοί και χωρικοί δείκτες για υγιείς και βιώσιμες πόλεις</t>
        </is>
      </c>
      <c r="P8" s="8" t="inlineStr">
        <is>
          <t>Manufofin siyasa da sararin samaniya don birane masu lafiya da dorewa</t>
        </is>
      </c>
      <c r="Q8" s="8" t="inlineStr">
        <is>
          <t>स्वस्थ और टिकाऊ शहरों के लिए नीति और स्थानिक संकेतक</t>
        </is>
      </c>
      <c r="R8" s="8" t="inlineStr">
        <is>
          <t>Indikator kebijakan dan spasial untuk kota yang sehat dan berkelanjutan</t>
        </is>
      </c>
      <c r="S8" s="8" t="inlineStr">
        <is>
          <t>Indicatori spaziali e sulle politiche per città sane e sostenibili</t>
        </is>
      </c>
      <c r="T8" s="3" t="inlineStr">
        <is>
          <t>健康で持続可能な都市のための政策と空間指標</t>
        </is>
      </c>
      <c r="U8" s="3" t="inlineStr">
        <is>
          <t>건강하고 지속가능한 도시를 위한 정책 및 공간 지표</t>
        </is>
      </c>
      <c r="V8" s="3" t="inlineStr">
        <is>
          <t>Kaupapa here me nga tohu mokowā mo nga taone hauora me te tauwhiro</t>
        </is>
      </c>
      <c r="W8" s="3" t="inlineStr">
        <is>
          <t>स्वस्थ र दिगो सहरहरूको लागि नीति र स्थानिय सूचकहरू</t>
        </is>
      </c>
      <c r="X8" s="44" t="inlineStr">
        <is>
          <t>شاخص‌های سیاستی و فضایی برای شهرهای سالم و پایدار</t>
        </is>
      </c>
      <c r="Y8" s="3" t="inlineStr">
        <is>
          <t>Indicadores de políticas públicas e espaciais para cidades saudáveis e sustentáveis</t>
        </is>
      </c>
      <c r="Z8" s="3" t="inlineStr">
        <is>
          <t>Indicadores políticos e espaciais para cidades saudáveis e sustentáveis</t>
        </is>
      </c>
      <c r="AA8" s="3" t="inlineStr">
        <is>
          <t>Indicadores de políticas y espaciales para ciudades saludables y sostenibles</t>
        </is>
      </c>
      <c r="AB8" s="3" t="inlineStr">
        <is>
          <t>Indicadores de políticas y espaciales para ciudades saludables y sostenibles</t>
        </is>
      </c>
      <c r="AC8" s="3" t="inlineStr">
        <is>
          <t>ஆரோக்கியமான மற்றும் நிலையான நகரங்களுக்கான கொள்கை மற்றும் இடஞ்சார்ந்த குறிகாட்டிகள்</t>
        </is>
      </c>
      <c r="AD8" s="3" t="inlineStr">
        <is>
          <t>ตัว​ชี้​วัด​นโยบาย​และ​เชิง​พื้นที่​สำหรับ​เมือง​ที่​มี​สุขภาพ​ดี​และ​ยั่งยืน</t>
        </is>
      </c>
      <c r="AE8" s="3" t="inlineStr">
        <is>
          <t>Sağlıklı ve sürdürülebilir şehirler için politika göstergeleri ve mekansal göstergeler</t>
        </is>
      </c>
      <c r="AF8" s="3" t="inlineStr">
        <is>
          <t>Політика та просторові показники для здорових та стійких міст</t>
        </is>
      </c>
      <c r="AG8" s="3" t="inlineStr">
        <is>
          <t>Các chỉ số chính sách và không gian cho các thành phố lành mạnh và bền vững</t>
        </is>
      </c>
    </row>
    <row r="9" ht="45" customHeight="1">
      <c r="A9" s="15" t="inlineStr">
        <is>
          <t>template</t>
        </is>
      </c>
      <c r="B9" s="15" t="inlineStr">
        <is>
          <t>spatial indicators</t>
        </is>
      </c>
      <c r="C9" s="9" t="inlineStr">
        <is>
          <t>Spatial indicators for healthy and sustainable cities</t>
        </is>
      </c>
      <c r="D9" s="8" t="inlineStr">
        <is>
          <t>المؤشرات المكانية للمدن الصحية والمستدامة</t>
        </is>
      </c>
      <c r="E9" s="8" t="inlineStr">
        <is>
          <t>Indicadors espacials per a ciutats saludables i sostenibles</t>
        </is>
      </c>
      <c r="F9" s="9" t="inlineStr">
        <is>
          <t>健康和可持续城市的空间指标</t>
        </is>
      </c>
      <c r="G9" s="8" t="inlineStr">
        <is>
          <t>健康與永續城市的空間指標</t>
        </is>
      </c>
      <c r="H9" s="16" t="inlineStr">
        <is>
          <t>Prostorni pokazatelji za zdrave i održive gradove</t>
        </is>
      </c>
      <c r="I9" s="8" t="inlineStr">
        <is>
          <t>Prostorové indikátory pro zdravá a udržitelná města</t>
        </is>
      </c>
      <c r="J9" s="16" t="inlineStr">
        <is>
          <t>Rumlige indikatorer for sunde og bæredygtige byer</t>
        </is>
      </c>
      <c r="K9" s="16" t="inlineStr">
        <is>
          <t>Ruimtelijke indicatoren voor gezonde en duurzame steden</t>
        </is>
      </c>
      <c r="L9" s="8" t="inlineStr">
        <is>
          <t>Paikkatietoindikaattoreita terveellisille ja kestäville kaupungeille</t>
        </is>
      </c>
      <c r="M9" s="8" t="inlineStr">
        <is>
          <t>Indicateurs spatiaux pour des villes saines et durables</t>
        </is>
      </c>
      <c r="N9" s="8" t="inlineStr">
        <is>
          <t>Raumindikatoren für gesunde und nachhaltige Städte</t>
        </is>
      </c>
      <c r="O9" s="8" t="inlineStr">
        <is>
          <t>Χωρικοί δείκτες για υγιείς και βιώσιμες πόλεις</t>
        </is>
      </c>
      <c r="P9" s="8" t="inlineStr">
        <is>
          <t>Alamun sararin samaniya don birane masu lafiya da dorewa</t>
        </is>
      </c>
      <c r="Q9" s="8" t="inlineStr">
        <is>
          <t>स्वस्थ और टिकाऊ शहरों के लिए स्थानिक संकेतक</t>
        </is>
      </c>
      <c r="R9" s="8" t="inlineStr">
        <is>
          <t>Indikator spasial kota yang sehat dan berkelanjutan</t>
        </is>
      </c>
      <c r="S9" s="8" t="inlineStr">
        <is>
          <t>Indicatori spaziali per città sane e sostenibili</t>
        </is>
      </c>
      <c r="T9" s="3" t="inlineStr">
        <is>
          <t>健康で持続可能な都市のための空間指標</t>
        </is>
      </c>
      <c r="U9" s="3" t="inlineStr">
        <is>
          <t>건강하고 지속가능한 도시를 위한 공간 지표</t>
        </is>
      </c>
      <c r="V9" s="3" t="inlineStr">
        <is>
          <t>Ko nga tohu mokowhiti mo nga taone hauora me te tauwhiro</t>
        </is>
      </c>
      <c r="W9" s="3" t="inlineStr">
        <is>
          <t>स्वस्थ र दिगो शहरहरूको लागि स्थानिय सूचकहरू</t>
        </is>
      </c>
      <c r="X9" s="44" t="inlineStr">
        <is>
          <t xml:space="preserve">شاخص‌های فضایی برای شهرهای سالم و پایدار
</t>
        </is>
      </c>
      <c r="Y9" s="3" t="inlineStr">
        <is>
          <t>Indicadores espaciais para cidades saudáveis e sustentáveis</t>
        </is>
      </c>
      <c r="Z9" s="3" t="inlineStr">
        <is>
          <t>Indicadores espaciais para cidades saudáveis e sustentáveis</t>
        </is>
      </c>
      <c r="AA9" s="3" t="inlineStr">
        <is>
          <t>Indicadores espaciales para ciudades saludables y sostenibles</t>
        </is>
      </c>
      <c r="AB9" s="3" t="inlineStr">
        <is>
          <t>Indicadores espaciales para ciudades saludables y sostenibles</t>
        </is>
      </c>
      <c r="AC9" s="3" t="inlineStr">
        <is>
          <t>ஆரோக்கியமான மற்றும் நிலையான நகரங்களுக்கான இடஞ்சார்ந்த குறிகாட்டிகள்</t>
        </is>
      </c>
      <c r="AD9" s="3" t="inlineStr">
        <is>
          <t>ตัว​ชี้​วัด​เชิง​พื้นที่​สำหรับ​เมือง​ที่​มี​สุขภาพ​ดี​และ​ยั่งยืน</t>
        </is>
      </c>
      <c r="AE9" s="3" t="inlineStr">
        <is>
          <t>Sağlıklı ve sürdürülebilir şehirler için mekansal göstergeler</t>
        </is>
      </c>
      <c r="AF9" s="3" t="inlineStr">
        <is>
          <t>Просторові показники для здорових і стійких міст</t>
        </is>
      </c>
      <c r="AG9" s="3" t="inlineStr">
        <is>
          <t>Các chỉ số không gian cho các thành phố lành mạnh và bền vững</t>
        </is>
      </c>
    </row>
    <row r="10" ht="105" customHeight="1">
      <c r="A10" s="15" t="inlineStr">
        <is>
          <t>template</t>
        </is>
      </c>
      <c r="B10" s="15" t="inlineStr">
        <is>
          <t>disclaimer</t>
        </is>
      </c>
      <c r="C10" s="9" t="inlineStr">
        <is>
          <t>Preliminary findings are not intended for public release until results and interpretations are validated and approved.</t>
        </is>
      </c>
      <c r="D10" s="8" t="inlineStr">
        <is>
          <t>النتائج الأولية ليست مخصصة للنشر العام حتى يتم التحقق من صحة النتائج والتفسيرات والموافقة عليها.</t>
        </is>
      </c>
      <c r="E10" s="8" t="inlineStr">
        <is>
          <t>Les conclusions preliminars no estan destinades a ser publicades fins que els resultats i les interpretacions siguin validats i aprovats.</t>
        </is>
      </c>
      <c r="F10" s="9" t="inlineStr">
        <is>
          <t>在结果和解释得到验证和批准之前，初步调查结果不会公开发布。</t>
        </is>
      </c>
      <c r="G10" s="8" t="inlineStr">
        <is>
          <t>在結果和解釋得到驗證和批准之前，初步調查結果不會公開發布。</t>
        </is>
      </c>
      <c r="H10" s="16" t="inlineStr">
        <is>
          <t>Preliminarni nalazi nisu namijenjeni javnoj objavi dok se rezultati i tumačenja ne potvrde i odobre.</t>
        </is>
      </c>
      <c r="I10" s="8" t="inlineStr">
        <is>
          <t>Předběžná zjištění nejsou určena ke zveřejnění, dokud nebudou ověřeny a schváleny výsledky a interpretace.</t>
        </is>
      </c>
      <c r="J10" s="16" t="inlineStr">
        <is>
          <t>Foreløbige resultater er ikke beregnet til offentlig offentliggørelse, før resultater og fortolkninger er valideret og godkendt.</t>
        </is>
      </c>
      <c r="K10" s="16" t="inlineStr">
        <is>
          <t>Voorlopige bevindingen zijn niet bedoeld voor publieke publicatie totdat de resultaten en interpretaties zijn gevalideerd en goedgekeurd.</t>
        </is>
      </c>
      <c r="L10" s="8" t="inlineStr">
        <is>
          <t>Alustavia havaintoja ei ole tarkoitettu julkistettaviksi ennen kuin tulokset ja tulkinnat on validoitu ja hyväksytty.</t>
        </is>
      </c>
      <c r="M10" s="8" t="inlineStr">
        <is>
          <t>Les résultats préliminaires ne sont pas destinés à être rendus publics tant que les résultats et les interprétations ne sont pas validés et approuvés.</t>
        </is>
      </c>
      <c r="N10" s="8" t="inlineStr">
        <is>
          <t>Vorläufige Ergebnisse sind nicht zur Veröffentlichung vorgesehen, bis die Ergebnisse und Interpretationen validiert und genehmigt wurden.</t>
        </is>
      </c>
      <c r="O10" s="8" t="inlineStr">
        <is>
          <t>Τα προκαταρκτικά ευρήματα δεν προορίζονται για δημόσια δημοσίευση έως ότου επικυρωθούν και εγκριθούν τα αποτελέσματα και οι ερμηνείες.</t>
        </is>
      </c>
      <c r="P10" s="8" t="inlineStr">
        <is>
          <t>Ba a yi nufin binciken farko don sakin jama'a ba har sai an tabbatar da sakamako da fassarorin da aka amince da su.</t>
        </is>
      </c>
      <c r="Q10" s="8" t="inlineStr">
        <is>
          <t>जब तक परिणाम और व्याख्याएं मान्य और स्वीकृत नहीं हो जातीं, तब तक प्रारंभिक निष्कर्षों को सार्वजनिक रूप से जारी करने का इरादा नहीं है।</t>
        </is>
      </c>
      <c r="R10" s="8" t="inlineStr">
        <is>
          <t>Temuan awal tidak dimaksudkan untuk dipublikasikan sampai hasil dan interpretasi divalidasi dan disetujui.</t>
        </is>
      </c>
      <c r="S10" s="8" t="inlineStr">
        <is>
          <t>I risultati preliminari non sono destinati alla divulgazione pubblica finché i risultati e le loro interpretazioni non saranno convalidati ed approvati.</t>
        </is>
      </c>
      <c r="T10" s="3" t="inlineStr">
        <is>
          <t>予備的な結果は、結果と解釈が検証され承認されるまでは公開されません。</t>
        </is>
      </c>
      <c r="U10" s="3" t="inlineStr">
        <is>
          <t>결과와 해석이 검토 및 승인될 때까지 예비 조사 결과는 공개되지 않습니다.</t>
        </is>
      </c>
      <c r="V10" s="3" t="inlineStr">
        <is>
          <t>Ko nga kitenga tuatahi kaore i te whakaarohia mo te whakaputanga ma te iwi tae noa ki te whakamanatanga me te whakamanatanga o nga hua me nga whakamaarama.</t>
        </is>
      </c>
      <c r="W10" s="3" t="inlineStr">
        <is>
          <t>प्रारम्भिक निष्कर्षहरू सार्वजनिक विमोचनका लागि अभिप्रेरित छैनन् जबसम्म परिणामहरू र व्याख्याहरू मान्य र स्वीकृत हुँदैनन्।</t>
        </is>
      </c>
      <c r="X10" s="44" t="inlineStr">
        <is>
          <t xml:space="preserve"> یافته‌های اولیه تا زمان تایید و تصویب نتایج و تفسیرها برای انتشار عمومی در نظر گرفته نشده‌اند.</t>
        </is>
      </c>
      <c r="Y10" s="3" t="inlineStr">
        <is>
          <t>Os achados preliminares não se destinam à divulgação pública até que os resultados e as interpretações sejam validados e aprovados.</t>
        </is>
      </c>
      <c r="Z10" s="3" t="inlineStr">
        <is>
          <t>As descobertas preliminares não se destinam à divulgação pública até que os resultados e as interpretações sejam validados e aprovados.</t>
        </is>
      </c>
      <c r="AA10" s="3" t="inlineStr">
        <is>
          <t>Los hallazgos preliminares no están destinados a ser divulgados públicamente hasta que los resultados y las interpretaciones sean validados y aprobados.</t>
        </is>
      </c>
      <c r="AB10" s="3" t="inlineStr">
        <is>
          <t>Los hallazgos preliminares no están destinados a ser divulgados públicamente hasta que los resultados y las interpretaciones sean validados y aprobados.</t>
        </is>
      </c>
      <c r="AC10" s="3" t="inlineStr">
        <is>
          <t xml:space="preserve">
முடிவுகள் மற்றும் விளக்கங்கள் சரிபார்க்கப்பட்டு அங்கீகரிக்கப்படும் வரை பூர்வாங்க கண்டுபிடிப்புகள் பொது வெளியீட்டை நோக்கமாகக் கொண்டிருக்கவில்லை.</t>
        </is>
      </c>
      <c r="AD10" s="3" t="inlineStr">
        <is>
          <t>การ​ค้น​พบ​เบื้อง​ต้น​ไม่​ได้​มี​ไว้​สำหรับ​การ​เผย​แพร่​สู่​สาธารณะ​จน​กว่า​ผลลัพธ์​และ​การ​ตี​ความ​จะ​ได้​รับ​การ​ตรวจ​สอบ​และ​อนุมัติ</t>
        </is>
      </c>
      <c r="AE10" s="3" t="inlineStr">
        <is>
          <t>Sonuçlar ve yorumlar doğrulanıp onaylanıncaya kadar ön bulguların kamuya açıklanması amaçlanmamaktadır.</t>
        </is>
      </c>
      <c r="AF10" s="3" t="inlineStr">
        <is>
          <t>Попередні висновки не призначені для публічного оприлюднення, доки результати та інтерпретації не будуть перевірені та затверджені.</t>
        </is>
      </c>
      <c r="AG10" s="3" t="inlineStr">
        <is>
          <t>Những phát hiện sơ bộ này không được dự tính để công bố rộng rãi cho đến khi các kết quả và diễn giải được xác nhận và phê duyệt.</t>
        </is>
      </c>
    </row>
    <row r="11" ht="75" customHeight="1">
      <c r="A11" s="15" t="inlineStr">
        <is>
          <t>template</t>
        </is>
      </c>
      <c r="B11" s="15" t="inlineStr">
        <is>
          <t>policy checklist incomplete warning</t>
        </is>
      </c>
      <c r="C11" s="9" t="inlineStr">
        <is>
          <t>Policy checklist data could not be loaded and have been skipped.  See https://healthysustainablecities.github.io/software/#Policy-checklist</t>
        </is>
      </c>
      <c r="D11" s="8" t="inlineStr">
        <is>
          <t>تعذر تحميل بيانات قائمة التحقق من السياسة وتم تخطيها. راجع https://healthysustainablecities.github.io/software/#Policy-checklist</t>
        </is>
      </c>
      <c r="E11" s="8" t="inlineStr">
        <is>
          <t>Les dades de la llista de verificació de polítiques no s'han pogut carregar i s'han omès. Vegeu https://healthysustainablecities.github.io/software/#Policy-checklist</t>
        </is>
      </c>
      <c r="F11" s="9" t="inlineStr">
        <is>
          <t>无法加载政策清单数据因此已被跳过。详情请参阅 https://healthysustainablecities.github.io/software/#Policy-checklist</t>
        </is>
      </c>
      <c r="G11" s="8" t="inlineStr">
        <is>
          <t>無法載入政策清單資料並已被跳過。請參閱 https://healthysustainablecities.github.io/software/#Policy-checklist</t>
        </is>
      </c>
      <c r="H11" s="16" t="inlineStr">
        <is>
          <t>Podaci popisa pravila nisu se mogli učitati i preskočeni su. Pogledajte https://healthysustainablecities.github.io/software/#Policy-checklist</t>
        </is>
      </c>
      <c r="I11" s="8" t="inlineStr">
        <is>
          <t>Data kontrolního seznamu zásad se nepodařilo načíst a byla přeskočena. Viz https://healthysustainablecities.github.io/software/#Policy-checklist</t>
        </is>
      </c>
      <c r="J11" s="16" t="inlineStr">
        <is>
          <t>Politikchecklistedata kunne ikke indlæses og er blevet sprunget over. Se https://healthysustainablecities.github.io/software/#Policy-checklist</t>
        </is>
      </c>
      <c r="K11" s="16" t="inlineStr">
        <is>
          <t>Gegevens uit de beleidschecklist kunnen niet worden geladen en zijn overgeslagen. Zie https://healthysustainablecities.github.io/software/#Policy-checklist</t>
        </is>
      </c>
      <c r="L11" s="8" t="inlineStr">
        <is>
          <t>Poliittisten ohjauskeinojen tarkistuslistan tietoja ei voitu ladata ja ne on ohitettu. Katso https://healthysustainablecities.github.io/software/#Policy-checklist</t>
        </is>
      </c>
      <c r="M11" s="8" t="inlineStr">
        <is>
          <t>Les données de la liste de contrôle des politiques n'ont pas pu être chargées et ont été ignorées. Voir https://healthysustainablecities.github.io/software/#Policy-checklist</t>
        </is>
      </c>
      <c r="N11" s="8" t="inlineStr">
        <is>
          <t>Die Daten der Richtlinien-Checkliste konnten nicht geladen werden und wurden übersprungen. Siehe https://healthysustainablecities.github.io/software/#Policy-checklist</t>
        </is>
      </c>
      <c r="O11" s="8" t="inlineStr">
        <is>
          <t>Δεν ήταν δυνατή η φόρτωση των δεδομένων της λίστας ελέγχου πολιτικής και παραλείφθηκαν. Δείτε https://healthysustainablecities.github.io/software/#Policy-checklist</t>
        </is>
      </c>
      <c r="P11" s="8" t="inlineStr">
        <is>
          <t>Ba za a iya loda bayanan lissafin manufofin ba kuma an tsallake su. Duba https://healthysustainablecities.github.io/software/#Policy-checklist</t>
        </is>
      </c>
      <c r="Q11" s="8" t="inlineStr">
        <is>
          <t>पॉलिसी चेकलिस्ट डेटा लोड नहीं किया जा सका और छोड़ दिया गया है। https://healthysustainablecities.github.io/software/#Policy-checklist देखें</t>
        </is>
      </c>
      <c r="R11" s="8" t="inlineStr">
        <is>
          <t>Data daftar periksa kebijakan tidak dapat dimuat dan dilewati. Lihat https://healthysustainablecities.github.io/software/#Policy-checklist</t>
        </is>
      </c>
      <c r="S11" s="8" t="inlineStr">
        <is>
          <t>Non è stato possibile caricare i dati relativi alla lista di controllo delle politiche pubbliche che pertanto sono stati ignorati. Vedi https://healthysustainablecities.github.io/software/#Policy-checklist</t>
        </is>
      </c>
      <c r="T11" s="3" t="inlineStr">
        <is>
          <t>政策チェックリスト・データをロードできなかったため、スキップされました。 https://healthysustainablecities.github.io/software/#Policy-checklist を参照してください。</t>
        </is>
      </c>
      <c r="U11" s="3" t="inlineStr">
        <is>
          <t>정책 체크리스트 데이터를 불러올 수 없으므로 건너뛰었습니다. https://healthysustainablecities.github.io/software/#Policy-checklist를 참조하세요.</t>
        </is>
      </c>
      <c r="V11" s="3" t="inlineStr">
        <is>
          <t>Ko nga raraunga rarangi arowhai kaupapa here kaore i taea te uta, kua pekehia. Tirohia https://healthysustainablecities.github.io/software/#Policy-checklist</t>
        </is>
      </c>
      <c r="W11" s="3" t="inlineStr">
        <is>
          <t>नीति चेकलिस्ट डेटा लोड गर्न सकिएन र छोडिएको छ। https://healthysustainablecities.github.io/software/#Policy-checklist हेर्नुहोस्</t>
        </is>
      </c>
      <c r="X11" s="44" t="inlineStr">
        <is>
          <t>داده‌های چک‌لیست سیاست‌ها قابل بارگذاری نبوده و رد شده‌اند.  لطفاً به آدرس https://healthysustainablecities.github.io/software/#Policy-checklist مراجعه کنید.</t>
        </is>
      </c>
      <c r="Y11" s="3" t="inlineStr">
        <is>
          <t>Os dados da lista de verificação de políticas não puderam ser carregados e foram ignorados. Consulte https://healthysustainablecities.github.io/software/#Policy-checklist</t>
        </is>
      </c>
      <c r="Z11" s="3" t="inlineStr">
        <is>
          <t>Os dados da lista de verificação de políticas não puderam ser carregados e foram ignorados. Consulte https://healthysustainablecities.github.io/software/#Policy-checklist</t>
        </is>
      </c>
      <c r="AA11" s="3" t="inlineStr">
        <is>
          <t xml:space="preserve"> No se han podido cargar los datos de la Lista de comprobación de políticas y se han omitido.  Consulte https://healthysustainablecities.github.io/software/#Policy-checklist</t>
        </is>
      </c>
      <c r="AB11" s="3" t="inlineStr">
        <is>
          <t>Los datos de la lista de verificación de políticas no se pudieron cargar y se omitieron. Consulte https://healthysustainablecities.github.io/software/#Policy-checklist</t>
        </is>
      </c>
      <c r="AC11" s="3" t="inlineStr">
        <is>
          <t>கொள்கை சரிபார்ப்புப் பட்டியல் தரவை ஏற்ற முடியவில்லை மற்றும் தவிர்க்கப்பட்டது. பார்க்கவும் https://healthysustainablecities.github.io/software/#Policy-checklist</t>
        </is>
      </c>
      <c r="AD11" s="3" t="inlineStr">
        <is>
          <t>โหลด​ข้อมูล​รายการ​ตรวจ​สอบนโยบาย​ไม่​ได้​และ​ถูก​ข้าม​ไป ดู https://healthysustainablecities.github.io/software/#Policy-checklist</t>
        </is>
      </c>
      <c r="AE11" s="3" t="inlineStr">
        <is>
          <t>Politika kontrol listesi verileri yüklenemedi ve atlandı. Bkz. https://healthysustainablecities.github.io/software/#Policy-checklist</t>
        </is>
      </c>
      <c r="AF11" s="3" t="inlineStr">
        <is>
          <t>Дані контрольного списку політики не вдалося завантажити, тому їх було пропущено. Перегляньте https://healthysustainablecities.github.io/software/#Policy-checklist</t>
        </is>
      </c>
      <c r="AG11" s="3" t="inlineStr">
        <is>
          <t>Không thể tải dữ liệu danh sách kiểm tra chính sách và đã bị bỏ qua. Xem https://healthysustainablecities.github.io/software/#Policy-checklist</t>
        </is>
      </c>
    </row>
    <row r="12">
      <c r="A12" s="15" t="inlineStr">
        <is>
          <t>template</t>
        </is>
      </c>
      <c r="B12" s="15" t="inlineStr">
        <is>
          <t>DRAFT ONLY header warning</t>
        </is>
      </c>
      <c r="C12" s="9" t="inlineStr">
        <is>
          <t>DRAFT ONLY</t>
        </is>
      </c>
      <c r="D12" s="8" t="inlineStr">
        <is>
          <t>مسودة فقط</t>
        </is>
      </c>
      <c r="E12" s="8" t="inlineStr">
        <is>
          <t>NOMÉS ESBORRANY</t>
        </is>
      </c>
      <c r="F12" s="9" t="inlineStr">
        <is>
          <t>仅草稿</t>
        </is>
      </c>
      <c r="G12" s="8" t="inlineStr">
        <is>
          <t>僅草稿</t>
        </is>
      </c>
      <c r="H12" s="16" t="inlineStr">
        <is>
          <t>SAMO NACRT</t>
        </is>
      </c>
      <c r="I12" s="8" t="inlineStr">
        <is>
          <t>POUZE NÁVRH</t>
        </is>
      </c>
      <c r="J12" s="16" t="inlineStr">
        <is>
          <t>KUN UDKAD</t>
        </is>
      </c>
      <c r="K12" s="16" t="inlineStr">
        <is>
          <t>ALLEEN ONTWERP</t>
        </is>
      </c>
      <c r="L12" s="8" t="inlineStr">
        <is>
          <t>LUONNOS</t>
        </is>
      </c>
      <c r="M12" s="8" t="inlineStr">
        <is>
          <t>PROJET SEULEMENT</t>
        </is>
      </c>
      <c r="N12" s="8" t="inlineStr">
        <is>
          <t>NUR ENTWURF</t>
        </is>
      </c>
      <c r="O12" s="8" t="inlineStr">
        <is>
          <t>ΜΟΝΟ ΣΧΕΔΙΟ</t>
        </is>
      </c>
      <c r="P12" s="8" t="inlineStr">
        <is>
          <t>DAFATAR KAWAI</t>
        </is>
      </c>
      <c r="Q12" s="8" t="inlineStr">
        <is>
          <t>केवल ड्राफ्ट</t>
        </is>
      </c>
      <c r="R12" s="8" t="inlineStr">
        <is>
          <t>HANYA DRAFT</t>
        </is>
      </c>
      <c r="S12" s="8" t="inlineStr">
        <is>
          <t>SOLO BOZZA</t>
        </is>
      </c>
      <c r="T12" s="3" t="inlineStr">
        <is>
          <t>ドラフトのみ</t>
        </is>
      </c>
      <c r="U12" s="3" t="inlineStr">
        <is>
          <t>초안</t>
        </is>
      </c>
      <c r="V12" s="3" t="inlineStr">
        <is>
          <t>TAHUA ANAKE</t>
        </is>
      </c>
      <c r="W12" s="3" t="inlineStr">
        <is>
          <t>ड्राफ्ट मात्र</t>
        </is>
      </c>
      <c r="X12" s="44" t="inlineStr">
        <is>
          <t>پیش نویس</t>
        </is>
      </c>
      <c r="Y12" s="3" t="inlineStr">
        <is>
          <t>SOMENTE RASCUNHO</t>
        </is>
      </c>
      <c r="Z12" s="3" t="inlineStr">
        <is>
          <t>SOMENTE ESBOÇO</t>
        </is>
      </c>
      <c r="AA12" s="3" t="inlineStr">
        <is>
          <t>SÓLO BORRADOR</t>
        </is>
      </c>
      <c r="AB12" s="3" t="inlineStr">
        <is>
          <t>SÓLO BORRADOR</t>
        </is>
      </c>
      <c r="AC12" s="3" t="inlineStr">
        <is>
          <t>வரைவு மட்டுமே</t>
        </is>
      </c>
      <c r="AD12" s="3" t="inlineStr">
        <is>
          <t>ฉบับ​ร่าง​เท่า​นั้น</t>
        </is>
      </c>
      <c r="AE12" s="3" t="inlineStr">
        <is>
          <t>SADECE TASLAK</t>
        </is>
      </c>
      <c r="AF12" s="3" t="inlineStr">
        <is>
          <t>ТІЛЬКИ ЧЕРНЕТКА</t>
        </is>
      </c>
      <c r="AG12" s="3" t="inlineStr">
        <is>
          <t>BẢN  DỰ THẢO</t>
        </is>
      </c>
    </row>
    <row r="13" ht="45" customHeight="1">
      <c r="A13" s="15" t="inlineStr">
        <is>
          <t>template</t>
        </is>
      </c>
      <c r="B13" s="15" t="inlineStr">
        <is>
          <t>title_author</t>
        </is>
      </c>
      <c r="C13" s="22" t="inlineStr">
        <is>
          <t>Global Healthy and Sustainable City Indicators Collaboration</t>
        </is>
      </c>
      <c r="D13" s="8" t="inlineStr">
        <is>
          <t>التعاون العالمي لمؤشرات المدن الصحية والمستدامة</t>
        </is>
      </c>
      <c r="E13" s="8" t="inlineStr">
        <is>
          <t>Col·laboració global sobre indicadors de ciutats saludables i sostenibles</t>
        </is>
      </c>
      <c r="F13" s="9" t="inlineStr">
        <is>
          <t>全球健康与可持续城市指标合作</t>
        </is>
      </c>
      <c r="G13" s="8" t="inlineStr">
        <is>
          <t>全球健康與可持續城市 - 指標合作</t>
        </is>
      </c>
      <c r="H13" s="16" t="inlineStr">
        <is>
          <t>Globalna suradnja pokazatelja zdravog i održivog grada</t>
        </is>
      </c>
      <c r="I13" s="8" t="inlineStr">
        <is>
          <t>Mezinárodní spolupráce na indikátorech zdravého a udržitelného města</t>
        </is>
      </c>
      <c r="J13" s="16" t="inlineStr">
        <is>
          <t>Global Healthy &amp; Sustainable City-Indicators Collaboration</t>
        </is>
      </c>
      <c r="K13" s="16" t="inlineStr">
        <is>
          <t>Wereldwijde samenwerking rond gezonde en duurzame stadsindicatoren</t>
        </is>
      </c>
      <c r="L13" s="8" t="inlineStr">
        <is>
          <t xml:space="preserve">Global Healthy and Sustainable City Indicators Collaboration - yhteistyöverkosto </t>
        </is>
      </c>
      <c r="M13" s="8" t="inlineStr">
        <is>
          <t>Collaboration mondiale sur les indicateurs de villes saines et durables</t>
        </is>
      </c>
      <c r="N13" s="8" t="inlineStr">
        <is>
          <t>Global Healthy &amp; Sustainable City-Indicators Collaboration</t>
        </is>
      </c>
      <c r="O13" s="8" t="inlineStr">
        <is>
          <t>Παγκόσμια Συνεργασία Δείκτες Υγιεινής και Βιώσιμης Πόλης</t>
        </is>
      </c>
      <c r="P13" s="8" t="inlineStr">
        <is>
          <t>Haɗin gwiwar Ma'anonin Lafiya da Lafiyar Duniya &amp; Dorewar Birni</t>
        </is>
      </c>
      <c r="Q13" s="8" t="inlineStr">
        <is>
          <t>वैश्विक स्वस्थ और सतत शहर संकेतक सहयोग</t>
        </is>
      </c>
      <c r="R13" s="8" t="inlineStr">
        <is>
          <t>Kolaborasi Indikator Kota Sehat dan Berkelanjutan Global</t>
        </is>
      </c>
      <c r="S13" s="8" t="inlineStr">
        <is>
          <t>Collaborazione sugli Indicatori Globali per Città Sane e Sostenibili</t>
        </is>
      </c>
      <c r="T13" s="3" t="inlineStr">
        <is>
          <t>健康で持続可能な都市指標に向けた世界的な連携</t>
        </is>
      </c>
      <c r="U13" s="3" t="inlineStr">
        <is>
          <t>건강하고 지속 가능한 도시 지표 국제 협력</t>
        </is>
      </c>
      <c r="V13" s="3" t="inlineStr">
        <is>
          <t>Te Rōpū Tūtohu Hauora ā-Tāone ki Tuawhenua</t>
        </is>
      </c>
      <c r="W13" s="3" t="inlineStr">
        <is>
          <t>ग्लोबल स्वस्थ र दिगो शहर सूचक सहयोग</t>
        </is>
      </c>
      <c r="X13" s="44" t="inlineStr">
        <is>
          <t>همکاری جهانی شاخص‌های شهرهای سالم و پایدار</t>
        </is>
      </c>
      <c r="Y13" s="3" t="inlineStr">
        <is>
          <t>Colaboração Global para Indicadores de Cidades Saudáveis e Sustentáveis</t>
        </is>
      </c>
      <c r="Z13" s="3" t="inlineStr">
        <is>
          <t>Colaboração Global Saudável &amp; Sustentável De Indicadores urbanos</t>
        </is>
      </c>
      <c r="AA13" s="3" t="inlineStr">
        <is>
          <t xml:space="preserve">Colaboración Global de Indicadores de Ciudades Saludables y Sostenibles </t>
        </is>
      </c>
      <c r="AB13" s="3" t="inlineStr">
        <is>
          <t xml:space="preserve">Colaboración global sobre indicadores de ciudades saludables y sostenibles </t>
        </is>
      </c>
      <c r="AC13" s="3" t="inlineStr">
        <is>
          <t>உலகளாவிய ஆரோக்கியமான மற்றும் நிலையான நகர-குறிகாட்டிகள் ஒத்துழைப்பு</t>
        </is>
      </c>
      <c r="AD13" s="3" t="inlineStr">
        <is>
          <t>ความ​ร่วม​มือ​ด้าน​ตัว​ชี้​วัด​เมือง​ที่​ดี​ต่อ​สุขภาพ​และ​ยั่งยืน​ระดับ​โลก</t>
        </is>
      </c>
      <c r="AE13" s="3" t="inlineStr">
        <is>
          <t>Küresel Sağlıklı ve Sürdürülebilir Şehir Göstergeleri İşbirliği</t>
        </is>
      </c>
      <c r="AF13" s="3" t="inlineStr">
        <is>
          <t>Співпраця глобальних індикаторів здорового та сталого міста</t>
        </is>
      </c>
      <c r="AG13" s="3" t="inlineStr">
        <is>
          <t>Chương trình hợp tác nghiên cứu về các chỉ số cho thành phố lành mạnh và bền vững toàn cầu</t>
        </is>
      </c>
    </row>
    <row r="14">
      <c r="A14" s="15" t="inlineStr">
        <is>
          <t>template</t>
        </is>
      </c>
      <c r="B14" s="15" t="inlineStr">
        <is>
          <t>title_city</t>
        </is>
      </c>
      <c r="C14" s="9" t="inlineStr">
        <is>
          <t>{city_name}, {country} {year}</t>
        </is>
      </c>
      <c r="D14" s="9" t="inlineStr">
        <is>
          <t>{city_name}، {country} {year}</t>
        </is>
      </c>
      <c r="E14" s="9" t="inlineStr">
        <is>
          <t>{city_name}, {country} {year}</t>
        </is>
      </c>
      <c r="F14" s="9" t="inlineStr">
        <is>
          <t>{city_name}, {country} {year}</t>
        </is>
      </c>
      <c r="G14" s="9" t="inlineStr">
        <is>
          <t>{city_name}，{country} {year}</t>
        </is>
      </c>
      <c r="H14" s="9" t="inlineStr">
        <is>
          <t>{city_name}, {country} {year}</t>
        </is>
      </c>
      <c r="I14" s="8" t="inlineStr">
        <is>
          <t>{city_name}, {country} {year}</t>
        </is>
      </c>
      <c r="J14" s="16" t="inlineStr">
        <is>
          <t>{city_name}, {country} {year}</t>
        </is>
      </c>
      <c r="K14" s="9" t="inlineStr">
        <is>
          <t>{city_name}, {country} {year}</t>
        </is>
      </c>
      <c r="L14" s="9" t="inlineStr">
        <is>
          <t>{city_name}, {country} {year}</t>
        </is>
      </c>
      <c r="M14" s="9" t="inlineStr">
        <is>
          <t>{city_name}, {country} {year}</t>
        </is>
      </c>
      <c r="N14" s="9" t="inlineStr">
        <is>
          <t>{city_name}, {country} {year}</t>
        </is>
      </c>
      <c r="O14" s="9" t="inlineStr">
        <is>
          <t>{city_name}, {country} {year}</t>
        </is>
      </c>
      <c r="P14" s="9" t="inlineStr">
        <is>
          <t>{city_name}, {country} {year}</t>
        </is>
      </c>
      <c r="Q14" s="9" t="inlineStr">
        <is>
          <t>{city_name}, {country} {year}</t>
        </is>
      </c>
      <c r="R14" s="9" t="inlineStr">
        <is>
          <t>{city_name}, {country} {year}</t>
        </is>
      </c>
      <c r="S14" s="9" t="inlineStr">
        <is>
          <t>{city_name}, {country} {year}</t>
        </is>
      </c>
      <c r="T14" s="3" t="inlineStr">
        <is>
          <t>{city_name}、{country} {year}</t>
        </is>
      </c>
      <c r="U14" s="3" t="inlineStr">
        <is>
          <t>{city_name}, {country} {year}</t>
        </is>
      </c>
      <c r="V14" s="3" t="inlineStr">
        <is>
          <t>{city_name}, {country} {year}</t>
        </is>
      </c>
      <c r="W14" s="3" t="inlineStr">
        <is>
          <t>{city_name}, {country} {year}</t>
        </is>
      </c>
      <c r="X14" s="44" t="inlineStr">
        <is>
          <t>{city_name}، {country} {year}</t>
        </is>
      </c>
      <c r="Y14" s="3" t="inlineStr">
        <is>
          <t>{city_name}, {country} {year}</t>
        </is>
      </c>
      <c r="Z14" s="3" t="inlineStr">
        <is>
          <t>{city_name}, {country} {year}</t>
        </is>
      </c>
      <c r="AA14" s="3" t="inlineStr">
        <is>
          <t>{city_name}, {country} {year}</t>
        </is>
      </c>
      <c r="AB14" s="3" t="inlineStr">
        <is>
          <t>{city_name}, {country} {year}</t>
        </is>
      </c>
      <c r="AC14" s="3" t="inlineStr">
        <is>
          <t>{city_name}, {country} {year}</t>
        </is>
      </c>
      <c r="AD14" s="3" t="inlineStr">
        <is>
          <t>{city_name}, {country} {year}</t>
        </is>
      </c>
      <c r="AE14" s="3" t="inlineStr">
        <is>
          <t>{city_name}, {country} {year}</t>
        </is>
      </c>
      <c r="AF14" s="3" t="inlineStr">
        <is>
          <t>{city_name}, {country} {year}</t>
        </is>
      </c>
      <c r="AG14" s="3" t="inlineStr">
        <is>
          <t>{city_name}, {country} {year}</t>
        </is>
      </c>
    </row>
    <row r="15">
      <c r="A15" s="15" t="inlineStr">
        <is>
          <t>template</t>
        </is>
      </c>
      <c r="B15" s="15" t="inlineStr">
        <is>
          <t>City context</t>
        </is>
      </c>
      <c r="C15" s="9" t="inlineStr">
        <is>
          <t>{city_name} context</t>
        </is>
      </c>
      <c r="D15" s="9" t="inlineStr">
        <is>
          <t>سياق {city_name}.</t>
        </is>
      </c>
      <c r="E15" s="9" t="inlineStr">
        <is>
          <t>Context {city_name}</t>
        </is>
      </c>
      <c r="F15" s="9" t="inlineStr">
        <is>
          <t>{city_name} 上下文</t>
        </is>
      </c>
      <c r="G15" s="9" t="inlineStr">
        <is>
          <t>{city_name} 上下文</t>
        </is>
      </c>
      <c r="H15" s="9" t="inlineStr">
        <is>
          <t>{city_name} kontekst</t>
        </is>
      </c>
      <c r="I15" s="8" t="inlineStr">
        <is>
          <t>kontextu {city_name}</t>
        </is>
      </c>
      <c r="J15" s="16" t="inlineStr">
        <is>
          <t>{city_name} kontekst</t>
        </is>
      </c>
      <c r="K15" s="9" t="inlineStr">
        <is>
          <t>{city_name} context</t>
        </is>
      </c>
      <c r="L15" s="9" t="inlineStr">
        <is>
          <t>{city_name} — perustiedot</t>
        </is>
      </c>
      <c r="M15" s="9" t="inlineStr">
        <is>
          <t>Contexte de {city_name}</t>
        </is>
      </c>
      <c r="N15" s="9" t="inlineStr">
        <is>
          <t>{city_name}-Kontext</t>
        </is>
      </c>
      <c r="O15" s="9" t="inlineStr">
        <is>
          <t>πλαίσιο {city_name}</t>
        </is>
      </c>
      <c r="P15" s="9" t="inlineStr">
        <is>
          <t>Mahallin {city_name}</t>
        </is>
      </c>
      <c r="Q15" s="8" t="inlineStr">
        <is>
          <t>{city_name} प्रसंग</t>
        </is>
      </c>
      <c r="R15" s="9" t="inlineStr">
        <is>
          <t>Konteks {city_name}</t>
        </is>
      </c>
      <c r="S15" s="8" t="inlineStr">
        <is>
          <t>Informazioni di contesto per {city_name}</t>
        </is>
      </c>
      <c r="T15" s="3" t="inlineStr">
        <is>
          <t>{city_name} コンテキスト</t>
        </is>
      </c>
      <c r="U15" s="3" t="inlineStr">
        <is>
          <t>{city_name} 지역 개요</t>
        </is>
      </c>
      <c r="V15" s="3" t="inlineStr">
        <is>
          <t>{city_name} horopaki</t>
        </is>
      </c>
      <c r="W15" s="3" t="inlineStr">
        <is>
          <t>{city_name} सन्दर्भ</t>
        </is>
      </c>
      <c r="X15" s="44" t="inlineStr">
        <is>
          <t>زمینه {city_name}</t>
        </is>
      </c>
      <c r="Y15" s="3" t="inlineStr">
        <is>
          <t>Contexto de {city_name}</t>
        </is>
      </c>
      <c r="Z15" s="3" t="inlineStr">
        <is>
          <t>Contexto de {city_name}</t>
        </is>
      </c>
      <c r="AA15" s="3" t="inlineStr">
        <is>
          <t>Contexto para {city_name}</t>
        </is>
      </c>
      <c r="AB15" s="3" t="inlineStr">
        <is>
          <t>Contexto de {city_name}</t>
        </is>
      </c>
      <c r="AC15" s="3" t="inlineStr">
        <is>
          <t>{city_name} சூழல்</t>
        </is>
      </c>
      <c r="AD15" s="3" t="inlineStr">
        <is>
          <t>บริบท​ของ {city_name}</t>
        </is>
      </c>
      <c r="AE15" s="3" t="inlineStr">
        <is>
          <t>{city_name} bağlamı</t>
        </is>
      </c>
      <c r="AF15" s="3" t="inlineStr">
        <is>
          <t>Контекст {city_name}</t>
        </is>
      </c>
      <c r="AG15" s="3" t="inlineStr">
        <is>
          <t>bối cảnh {city_name}</t>
        </is>
      </c>
    </row>
    <row r="16">
      <c r="A16" s="15" t="inlineStr">
        <is>
          <t>template</t>
        </is>
      </c>
      <c r="B16" s="15" t="inlineStr">
        <is>
          <t>Levels of government</t>
        </is>
      </c>
      <c r="C16" s="9" t="inlineStr">
        <is>
          <t>Levels of government</t>
        </is>
      </c>
      <c r="D16" s="9" t="inlineStr">
        <is>
          <t>مستويات الحكومة</t>
        </is>
      </c>
      <c r="E16" s="9" t="inlineStr">
        <is>
          <t>Nivells de govern</t>
        </is>
      </c>
      <c r="F16" s="9" t="inlineStr">
        <is>
          <t>政府级别</t>
        </is>
      </c>
      <c r="G16" s="9" t="inlineStr">
        <is>
          <t>政府層級</t>
        </is>
      </c>
      <c r="H16" s="9" t="inlineStr">
        <is>
          <t>Razine vlasti</t>
        </is>
      </c>
      <c r="I16" s="8" t="inlineStr">
        <is>
          <t>Úrovně vlády</t>
        </is>
      </c>
      <c r="J16" s="16" t="inlineStr">
        <is>
          <t>Regeringsniveauer</t>
        </is>
      </c>
      <c r="K16" s="9" t="inlineStr">
        <is>
          <t>Bestuursniveaus</t>
        </is>
      </c>
      <c r="L16" s="9" t="inlineStr">
        <is>
          <t>Hallinnon tasot</t>
        </is>
      </c>
      <c r="M16" s="9" t="inlineStr">
        <is>
          <t>Niveaux de gouvernement</t>
        </is>
      </c>
      <c r="N16" s="9" t="inlineStr">
        <is>
          <t>Regierungsebenen</t>
        </is>
      </c>
      <c r="O16" s="9" t="inlineStr">
        <is>
          <t>Επίπεδα διακυβέρνησης</t>
        </is>
      </c>
      <c r="P16" s="9" t="inlineStr">
        <is>
          <t>Matakan gwamnati</t>
        </is>
      </c>
      <c r="Q16" s="8" t="inlineStr">
        <is>
          <t>सरकार के स्तर</t>
        </is>
      </c>
      <c r="R16" s="9" t="inlineStr">
        <is>
          <t>Tingkat pemerintahan</t>
        </is>
      </c>
      <c r="S16" s="8" t="inlineStr">
        <is>
          <t>Unità amministrative</t>
        </is>
      </c>
      <c r="T16" s="3" t="inlineStr">
        <is>
          <t>政府のレベル</t>
        </is>
      </c>
      <c r="U16" s="3" t="inlineStr">
        <is>
          <t>정부의 각급(수준)</t>
        </is>
      </c>
      <c r="V16" s="3" t="inlineStr">
        <is>
          <t>Nga taumata o te kawanatanga</t>
        </is>
      </c>
      <c r="W16" s="3" t="inlineStr">
        <is>
          <t>सरकारको स्तर</t>
        </is>
      </c>
      <c r="X16" s="44" t="inlineStr">
        <is>
          <t>سطوح حاکمیتی</t>
        </is>
      </c>
      <c r="Y16" s="3" t="inlineStr">
        <is>
          <t>Níveis de governo</t>
        </is>
      </c>
      <c r="Z16" s="3" t="inlineStr">
        <is>
          <t>Níveis de govern</t>
        </is>
      </c>
      <c r="AA16" s="3" t="inlineStr">
        <is>
          <t>Niveles de gobierno</t>
        </is>
      </c>
      <c r="AB16" s="3" t="inlineStr">
        <is>
          <t>Niveles de gobierno</t>
        </is>
      </c>
      <c r="AC16" s="3" t="inlineStr">
        <is>
          <t>அரசாங்கத்தின் நிலைகள்</t>
        </is>
      </c>
      <c r="AD16" s="3" t="inlineStr">
        <is>
          <t>ระดับ​ของ​รัฐบาล</t>
        </is>
      </c>
      <c r="AE16" s="3" t="inlineStr">
        <is>
          <t>İdari kademeler</t>
        </is>
      </c>
      <c r="AF16" s="3" t="inlineStr">
        <is>
          <t>Рівні влади</t>
        </is>
      </c>
      <c r="AG16" s="3" t="inlineStr">
        <is>
          <t>Các cấp chính quyền</t>
        </is>
      </c>
    </row>
    <row r="17" ht="30" customHeight="1">
      <c r="A17" s="15" t="inlineStr">
        <is>
          <t>template</t>
        </is>
      </c>
      <c r="B17" s="15" t="inlineStr">
        <is>
          <t>Demographics and health equity</t>
        </is>
      </c>
      <c r="C17" s="9" t="inlineStr">
        <is>
          <t>Demographics and health equity</t>
        </is>
      </c>
      <c r="D17" s="9" t="inlineStr">
        <is>
          <t>التركيبة السكانية والعدالة الصحية</t>
        </is>
      </c>
      <c r="E17" s="9" t="inlineStr">
        <is>
          <t>Demografia i equitat en salut</t>
        </is>
      </c>
      <c r="F17" s="9" t="inlineStr">
        <is>
          <t>人口统计和健康公平</t>
        </is>
      </c>
      <c r="G17" s="9" t="inlineStr">
        <is>
          <t>人口統計和健康公平</t>
        </is>
      </c>
      <c r="H17" s="9" t="inlineStr">
        <is>
          <t>Demografija i zdravstvena jednakost</t>
        </is>
      </c>
      <c r="I17" s="8" t="inlineStr">
        <is>
          <t>Demografie a rovnost ve zdraví</t>
        </is>
      </c>
      <c r="J17" s="16" t="inlineStr">
        <is>
          <t>Demografi og sundhedslighed</t>
        </is>
      </c>
      <c r="K17" s="9" t="inlineStr">
        <is>
          <t>Demografie en gelijkheid in de gezondheidszorg</t>
        </is>
      </c>
      <c r="L17" s="9" t="inlineStr">
        <is>
          <t>Väestötiedot ja terveyden tasa-arvo</t>
        </is>
      </c>
      <c r="M17" s="9" t="inlineStr">
        <is>
          <t>Démographie et équité en santé</t>
        </is>
      </c>
      <c r="N17" s="9" t="inlineStr">
        <is>
          <t>Demografie und gesundheitliche Chancengleichheit</t>
        </is>
      </c>
      <c r="O17" s="9" t="inlineStr">
        <is>
          <t>Δημογραφικά στοιχεία και ισότητα υγείας</t>
        </is>
      </c>
      <c r="P17" s="9" t="inlineStr">
        <is>
          <t>Alkaluman jama'a da daidaiton lafiya</t>
        </is>
      </c>
      <c r="Q17" s="8" t="inlineStr">
        <is>
          <t>जनसांख्यिकी और स्वास्थ्य समानता</t>
        </is>
      </c>
      <c r="R17" s="9" t="inlineStr">
        <is>
          <t>Demografi dan kesetaraan kesehatan</t>
        </is>
      </c>
      <c r="S17" s="8" t="inlineStr">
        <is>
          <t>Demografia ed equità nella salute</t>
        </is>
      </c>
      <c r="T17" s="3" t="inlineStr">
        <is>
          <t>人口動態と健康の公平性</t>
        </is>
      </c>
      <c r="U17" s="3" t="inlineStr">
        <is>
          <t>인구통계 및 건강 형평성</t>
        </is>
      </c>
      <c r="V17" s="3" t="inlineStr">
        <is>
          <t>Te taupori me te tika o te hauora</t>
        </is>
      </c>
      <c r="W17" s="3" t="inlineStr">
        <is>
          <t>जनसांख्यिकी र स्वास्थ्य समानता</t>
        </is>
      </c>
      <c r="X17" s="44" t="inlineStr">
        <is>
          <t>جمعیت‌شناسی و عدالت سلامت</t>
        </is>
      </c>
      <c r="Y17" s="3" t="inlineStr">
        <is>
          <t>Demografia e equidade na saúde</t>
        </is>
      </c>
      <c r="Z17" s="3" t="inlineStr">
        <is>
          <t>Demografia e equidade na saúde</t>
        </is>
      </c>
      <c r="AA17" s="3" t="inlineStr">
        <is>
          <t>Demografía y equidad en salud</t>
        </is>
      </c>
      <c r="AB17" s="3" t="inlineStr">
        <is>
          <t>Demografía y equidad en salud</t>
        </is>
      </c>
      <c r="AC17" s="3" t="inlineStr">
        <is>
          <t>மக்கள்தொகை மற்றும் சுகாதார சமத்துவம்</t>
        </is>
      </c>
      <c r="AD17" s="3" t="inlineStr">
        <is>
          <t>ประชากร​และ​ความ​เท่า​เทียม​ด้าน​สุขภาพ</t>
        </is>
      </c>
      <c r="AE17" s="3" t="inlineStr">
        <is>
          <t>Demografi ve sağlık eşitliği</t>
        </is>
      </c>
      <c r="AF17" s="3" t="inlineStr">
        <is>
          <t>Демографія та справедливість у сфері охорони здоров’я</t>
        </is>
      </c>
      <c r="AG17" s="3" t="inlineStr">
        <is>
          <t>Nhân khẩu học và công bằng sức khỏe</t>
        </is>
      </c>
    </row>
    <row r="18">
      <c r="A18" s="15" t="inlineStr">
        <is>
          <t>template</t>
        </is>
      </c>
      <c r="B18" s="15" t="inlineStr">
        <is>
          <t>Environmental disaster context</t>
        </is>
      </c>
      <c r="C18" s="9" t="inlineStr">
        <is>
          <t>Environmental disaster context</t>
        </is>
      </c>
      <c r="D18" s="9" t="inlineStr">
        <is>
          <t>سياق الكوارث البيئية</t>
        </is>
      </c>
      <c r="E18" s="9" t="inlineStr">
        <is>
          <t>Context de desastre ambiental</t>
        </is>
      </c>
      <c r="F18" s="9" t="inlineStr">
        <is>
          <t>环境灾害背景</t>
        </is>
      </c>
      <c r="G18" s="9" t="inlineStr">
        <is>
          <t>環境災害背景</t>
        </is>
      </c>
      <c r="H18" s="9" t="inlineStr">
        <is>
          <t>Kontekst ekološke katastrofe</t>
        </is>
      </c>
      <c r="I18" s="8" t="inlineStr">
        <is>
          <t>Kontext ekologické katastrofy</t>
        </is>
      </c>
      <c r="J18" s="16" t="inlineStr">
        <is>
          <t>Miljøkatastrofe kontekst</t>
        </is>
      </c>
      <c r="K18" s="9" t="inlineStr">
        <is>
          <t>Context van milieurampen</t>
        </is>
      </c>
      <c r="L18" s="9" t="inlineStr">
        <is>
          <t>Ympäristökatastrofin konteksti</t>
        </is>
      </c>
      <c r="M18" s="9" t="inlineStr">
        <is>
          <t>Contexte de catastrophe environnementale</t>
        </is>
      </c>
      <c r="N18" s="9" t="inlineStr">
        <is>
          <t>Kontext einer Umweltkatastrophe</t>
        </is>
      </c>
      <c r="O18" s="9" t="inlineStr">
        <is>
          <t>Πλαίσιο περιβαλλοντικής καταστροφής</t>
        </is>
      </c>
      <c r="P18" s="9" t="inlineStr">
        <is>
          <t>Halin bala'in muhalli</t>
        </is>
      </c>
      <c r="Q18" s="8" t="inlineStr">
        <is>
          <t>पर्यावरणीय आपदा संदर्भ</t>
        </is>
      </c>
      <c r="R18" s="9" t="inlineStr">
        <is>
          <t>Konteks bencana lingkungan</t>
        </is>
      </c>
      <c r="S18" s="8" t="inlineStr">
        <is>
          <t>Contesto relativo al disastro ambientale</t>
        </is>
      </c>
      <c r="T18" s="3" t="inlineStr">
        <is>
          <t>環境災害の背景</t>
        </is>
      </c>
      <c r="U18" s="3" t="inlineStr">
        <is>
          <t>환경 재해 상황</t>
        </is>
      </c>
      <c r="V18" s="3" t="inlineStr">
        <is>
          <t>Te horopaki aituā taiao</t>
        </is>
      </c>
      <c r="W18" s="3" t="inlineStr">
        <is>
          <t>पर्यावरणीय प्रकोप सन्दर्भ</t>
        </is>
      </c>
      <c r="X18" s="44" t="inlineStr">
        <is>
          <t>زمینه فاجعه زیست محیطی</t>
        </is>
      </c>
      <c r="Y18" s="3" t="inlineStr">
        <is>
          <t>Contexto de desastres ambientais</t>
        </is>
      </c>
      <c r="Z18" s="3" t="inlineStr">
        <is>
          <t>Contexto de desastre ambiental</t>
        </is>
      </c>
      <c r="AA18" s="3" t="inlineStr">
        <is>
          <t>Contexto de desastres ambientales</t>
        </is>
      </c>
      <c r="AB18" s="3" t="inlineStr">
        <is>
          <t>Contexto de desastre ambiental</t>
        </is>
      </c>
      <c r="AC18" s="3" t="inlineStr">
        <is>
          <t>சுற்றுச்சூழல் பேரழிவு சூழல்</t>
        </is>
      </c>
      <c r="AD18" s="3" t="inlineStr">
        <is>
          <t>บริบท​ภัยพิบัติ​ด้าน​สิ่ง​แวด​ล้อม</t>
        </is>
      </c>
      <c r="AE18" s="3" t="inlineStr">
        <is>
          <t>Çevresel afetlerle ilgili bağlam</t>
        </is>
      </c>
      <c r="AF18" s="3" t="inlineStr">
        <is>
          <t>Контекст екологічної катастрофи</t>
        </is>
      </c>
      <c r="AG18" s="3" t="inlineStr">
        <is>
          <t>Bối cảnh thảm họa môi trường</t>
        </is>
      </c>
    </row>
    <row r="19">
      <c r="A19" s="15" t="inlineStr">
        <is>
          <t>template</t>
        </is>
      </c>
      <c r="B19" s="15" t="inlineStr">
        <is>
          <t>Additional context</t>
        </is>
      </c>
      <c r="C19" s="9" t="inlineStr">
        <is>
          <t>Additional context</t>
        </is>
      </c>
      <c r="D19" s="9" t="inlineStr">
        <is>
          <t>سياق إضافي</t>
        </is>
      </c>
      <c r="E19" s="9" t="inlineStr">
        <is>
          <t>Context addicional</t>
        </is>
      </c>
      <c r="F19" s="9" t="inlineStr">
        <is>
          <t>额外的背景信息</t>
        </is>
      </c>
      <c r="G19" s="9" t="inlineStr">
        <is>
          <t>額外的背景資訊</t>
        </is>
      </c>
      <c r="H19" s="9" t="inlineStr">
        <is>
          <t>Dodatni kontekst</t>
        </is>
      </c>
      <c r="I19" s="8" t="inlineStr">
        <is>
          <t>Další kontext</t>
        </is>
      </c>
      <c r="J19" s="16" t="inlineStr">
        <is>
          <t>Yderligere kontekst</t>
        </is>
      </c>
      <c r="K19" s="9" t="inlineStr">
        <is>
          <t>Aanvullende context</t>
        </is>
      </c>
      <c r="L19" s="9" t="inlineStr">
        <is>
          <t>Lisäkonteksti</t>
        </is>
      </c>
      <c r="M19" s="9" t="inlineStr">
        <is>
          <t>Contexte supplémentaire</t>
        </is>
      </c>
      <c r="N19" s="9" t="inlineStr">
        <is>
          <t>Zusätzlicher Kontext</t>
        </is>
      </c>
      <c r="O19" s="9" t="inlineStr">
        <is>
          <t>Πρόσθετο πλαίσιο</t>
        </is>
      </c>
      <c r="P19" s="9" t="inlineStr">
        <is>
          <t>Ƙarin mahallin</t>
        </is>
      </c>
      <c r="Q19" s="8" t="inlineStr">
        <is>
          <t>अतिरिक्त प्रसंग</t>
        </is>
      </c>
      <c r="R19" s="9" t="inlineStr">
        <is>
          <t>Konteks tambahan</t>
        </is>
      </c>
      <c r="S19" s="8" t="inlineStr">
        <is>
          <t>Ulteriori informazioni contestuali</t>
        </is>
      </c>
      <c r="T19" s="3" t="inlineStr">
        <is>
          <t>追加のコンテキスト</t>
        </is>
      </c>
      <c r="U19" s="3" t="inlineStr">
        <is>
          <t>기타 지역 배경</t>
        </is>
      </c>
      <c r="V19" s="3" t="inlineStr">
        <is>
          <t>He horopaki taapiri</t>
        </is>
      </c>
      <c r="W19" s="3" t="inlineStr">
        <is>
          <t>अतिरिक्त सन्दर्भ</t>
        </is>
      </c>
      <c r="X19" s="44" t="inlineStr">
        <is>
          <t>زمینه اضافی</t>
        </is>
      </c>
      <c r="Y19" s="3" t="inlineStr">
        <is>
          <t>Contexto adicional</t>
        </is>
      </c>
      <c r="Z19" s="3" t="inlineStr">
        <is>
          <t>Contexto adicional</t>
        </is>
      </c>
      <c r="AA19" s="3" t="inlineStr">
        <is>
          <t>Contexto adicional</t>
        </is>
      </c>
      <c r="AB19" s="3" t="inlineStr">
        <is>
          <t>Contexto adicional</t>
        </is>
      </c>
      <c r="AC19" s="3" t="inlineStr">
        <is>
          <t>கூடுதல் சூழல்</t>
        </is>
      </c>
      <c r="AD19" s="3" t="inlineStr">
        <is>
          <t>บริบท​เพิ่ม​เติม</t>
        </is>
      </c>
      <c r="AE19" s="3" t="inlineStr">
        <is>
          <t>Ek bağlam</t>
        </is>
      </c>
      <c r="AF19" s="3" t="inlineStr">
        <is>
          <t>Додатковий контекст</t>
        </is>
      </c>
      <c r="AG19" s="3" t="inlineStr">
        <is>
          <t>Bối cảnh bổ sung</t>
        </is>
      </c>
    </row>
    <row r="20" ht="105" customHeight="1">
      <c r="A20" s="15" t="inlineStr">
        <is>
          <t>template</t>
        </is>
      </c>
      <c r="B20" s="15" t="inlineStr">
        <is>
          <t>City context blurb</t>
        </is>
      </c>
      <c r="C20" s="9" t="inlineStr">
        <is>
          <t>Edit the region configuration file to provide background context for your study region. Please briefly summarise the location, history and topography, as relevant.</t>
        </is>
      </c>
      <c r="D20" s="9" t="inlineStr">
        <is>
          <t>قم بتحرير ملف تكوين المنطقة لتوفير سياق الخلفية لمنطقة دراستك. يرجى تلخيص الموقع والتاريخ والتضاريس بإيجاز، حسب الاقتضاء.</t>
        </is>
      </c>
      <c r="E20" s="9" t="inlineStr">
        <is>
          <t>Editeu el fitxer de configuració de la regió per proporcionar un context de fons per a la vostra regió d'estudi. Si us plau, resumeix breument la ubicació, la història i la topografia, segons sigui pertinent.</t>
        </is>
      </c>
      <c r="F20" s="9" t="inlineStr">
        <is>
          <t>编辑区域配置文件以为您的研究区域提供背景上下文。请简要概述相关的位置、历史和地形。</t>
        </is>
      </c>
      <c r="G20" s="9" t="inlineStr">
        <is>
          <t>編輯區域設定檔以為您的研究區域提供背景上下文。請簡要概述相關的位置、歷史和地形。</t>
        </is>
      </c>
      <c r="H20" s="9" t="inlineStr">
        <is>
          <t>Uredite konfiguracijsku datoteku regije kako biste pružili pozadinski kontekst za svoju regiju proučavanja. Molimo ukratko opišite lokaciju, povijest i topografiju, prema potrebi.</t>
        </is>
      </c>
      <c r="I20" s="8" t="inlineStr">
        <is>
          <t>Upravte konfigurační soubor oblasti tak, aby poskytoval kontext pozadí pro vaši studijní oblast. Stručně prosím shrňte polohu, historii a topografii, je-li to relevantní.</t>
        </is>
      </c>
      <c r="J20" s="16" t="inlineStr">
        <is>
          <t>Rediger regionskonfigurationsfilen for at give baggrundskontekst for din studieregion. Opsummer venligst kort placering, historie og topografi, som relevant.</t>
        </is>
      </c>
      <c r="K20" s="9" t="inlineStr">
        <is>
          <t>Bewerk het regioconfiguratiebestand om achtergrondcontext voor uw studieregio te bieden. Geef een korte samenvatting van de locatie, geschiedenis en topografie, indien relevant.</t>
        </is>
      </c>
      <c r="L20" s="9" t="inlineStr">
        <is>
          <t>Lisää tutkimusalueesi taustatiedot asetustiedostoon. Kirjoita lyhyt yhteenveto maantieteellisestä sijainnista, historiasta ja pinnanmuodoista (tarpeen mukaan).</t>
        </is>
      </c>
      <c r="M20" s="9" t="inlineStr">
        <is>
          <t>Modifiez le fichier de configuration de la région pour fournir un contexte d'arrière-plan pour votre région d'étude. Veuillez résumer brièvement l'emplacement, l'histoire et la topographie, le cas échéant.</t>
        </is>
      </c>
      <c r="N20" s="9" t="inlineStr">
        <is>
          <t>Bearbeiten Sie die Regionskonfigurationsdatei, um Hintergrundkontext für Ihre Studienregion bereitzustellen. Bitte fassen Sie gegebenenfalls kurz den Standort, die Geschichte und die Topografie zusammen.</t>
        </is>
      </c>
      <c r="O20" s="9" t="inlineStr">
        <is>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is>
      </c>
      <c r="P20" s="9" t="inlineStr">
        <is>
          <t>Shirya fayil ɗin sanyi na yanki don samar da bayanan baya don yankin binciken ku. Da fatan za a taƙaice wuri, tarihi da hoton ƙasa, kamar yadda ya dace.</t>
        </is>
      </c>
      <c r="Q20" s="8" t="inlineStr">
        <is>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is>
      </c>
      <c r="R20" s="9" t="inlineStr">
        <is>
          <t>Edit file konfigurasi wilayah untuk memberikan konteks latar belakang wilayah studi Anda. Harap rangkum secara singkat lokasi, sejarah dan topografi, jika relevan.</t>
        </is>
      </c>
      <c r="S20" s="8" t="inlineStr">
        <is>
          <t>Modifica il file di configurazione della regione fornendo il contesto di base relativo alla tua regione di studio. Si prega di riassumere brevemente la posizione, la storia e la topografia, se pertinenti.</t>
        </is>
      </c>
      <c r="T20" s="3" t="inlineStr">
        <is>
          <t>地域設定ファイルを編集して、調査地域の背景情報を提供してください。必要に応じて、位置、歴史、地形を簡単に要約してください。</t>
        </is>
      </c>
      <c r="U20" s="3" t="inlineStr">
        <is>
          <t xml:space="preserve">연구 지역의 구성 파일을 편집하여 연구 지역에 대한 배경 정보를 제공합니다. 위치, 역사, 지형과 관련된 내용을 간략하게 요약합니다. </t>
        </is>
      </c>
      <c r="V20" s="3" t="inlineStr">
        <is>
          <t>Whakatikaina te kōnae whirihoranga rohe hei whakarato i te horopaki papamuri mo to rohe ako. Tena koa whakarapopototia te waahi, te hitori me te ahuatanga o te whenua, mena e tika ana.</t>
        </is>
      </c>
      <c r="W20" s="3" t="inlineStr">
        <is>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is>
      </c>
      <c r="X20" s="44" t="inlineStr">
        <is>
          <t>فایل پیکربندی منطقه را ویرایش کنید تا زمینه برای منطقه مورد مطالعه شما فراهم شود. لطفا به طور خلاصه مکان، تاریخ و توپوگرافی را به ارائه دهید.</t>
        </is>
      </c>
      <c r="Y20" s="3" t="inlineStr">
        <is>
          <t>Edite o arquivo de configuração da região para fornecer contexto geral para sua região de estudo. Por favor, resuma brevemente a localização, história e topografia, quando relevante.</t>
        </is>
      </c>
      <c r="Z20" s="3" t="inlineStr">
        <is>
          <t>Edite o arquivo de configuração da região para fornecer contexto de fundo para sua região de estudo. Por favor, resuma brevemente a localização, história e topografia, conforme relevante.</t>
        </is>
      </c>
      <c r="AA20" s="3" t="inlineStr">
        <is>
          <t>Edite el archivo de configuración de la región para contextualizar su región de estudio. Resuma brevemente la ubicación, la historia y la topografía, según corresponda.</t>
        </is>
      </c>
      <c r="AB20" s="3" t="inlineStr">
        <is>
          <t>Edite el archivo de configuración de la región para proporcionar los antecedentes contextuales para su región de estudio. Resuma brevemente la ubicación, la historia y la topografía, según corresponda.</t>
        </is>
      </c>
      <c r="AC20" s="3" t="inlineStr">
        <is>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is>
      </c>
      <c r="AD20" s="3" t="inlineStr">
        <is>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is>
      </c>
      <c r="AE20" s="3" t="inlineStr">
        <is>
          <t>Çalışma bölgenizin arka plan bilgilerini sağlamak için bölge yapılandırma dosyasını düzenleyin. Lütfen konumu, tarihi ve topografyayı kısaca özetleyin.</t>
        </is>
      </c>
      <c r="AF20" s="3" t="inlineStr">
        <is>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is>
      </c>
      <c r="AG20" s="3" t="inlineStr">
        <is>
          <t>Chỉnh sửa tệp cấu hình vùng để cung cấp bối cảnh cơ bản cho khu vực nghiên cứu của bạn. Vui lòng tóm tắt ngắn gọn về vị trí, lịch sử và địa hình nếu có liên quan.</t>
        </is>
      </c>
    </row>
    <row r="21" ht="60" customHeight="1">
      <c r="A21" s="15" t="inlineStr">
        <is>
          <t>template</t>
        </is>
      </c>
      <c r="B21" s="15" t="inlineStr">
        <is>
          <t>Levels of government blurb</t>
        </is>
      </c>
      <c r="C21" s="9" t="inlineStr">
        <is>
          <t>The following levels of government policy were analysed for {city_name}: {policy_checklist_levels}.</t>
        </is>
      </c>
      <c r="D21" s="9" t="inlineStr">
        <is>
          <t>تم تحليل المستويات التالية لسياسة الحكومة في {city_name}: {policy_checklist_levels}.</t>
        </is>
      </c>
      <c r="E21" s="9" t="inlineStr">
        <is>
          <t>S'han analitzat els nivells següents de política governamental per a {city_name}: {policy_checklist_levels}.</t>
        </is>
      </c>
      <c r="F21" s="9" t="inlineStr">
        <is>
          <t>针对 {city_name} 分析了以下级别的政府政策：{policy_checklist_levels}。</t>
        </is>
      </c>
      <c r="G21" s="9" t="inlineStr">
        <is>
          <t>針對 {city_name} 分析了以下層級的政府政策：{policy_checklist_levels}。</t>
        </is>
      </c>
      <c r="H21" s="9" t="inlineStr">
        <is>
          <t>Sljedeće razine vladine politike analizirane su za {city_name}: {policy_checklist_levels}.</t>
        </is>
      </c>
      <c r="I21" s="8" t="inlineStr">
        <is>
          <t>Pro město {city_name} byly analyzovány následující úrovně vládní politiky: {policy_checklist_levels}.</t>
        </is>
      </c>
      <c r="J21" s="16" t="inlineStr">
        <is>
          <t>Følgende niveauer af regeringens politik blev analyseret for {city_name}: {policy_checklist_levels}.</t>
        </is>
      </c>
      <c r="K21" s="9" t="inlineStr">
        <is>
          <t>De volgende niveaus van overheidsbeleid zijn geanalyseerd voor {city_name}: {policy_checklist_levels}.</t>
        </is>
      </c>
      <c r="L21" s="9" t="inlineStr">
        <is>
          <t>Seuraavat hallinnon tasot on analysoitu kaupungille {city_name}: {policy_checklist_levels}.</t>
        </is>
      </c>
      <c r="M21" s="9" t="inlineStr">
        <is>
          <t>Les niveaux de politique gouvernementale suivants ont été analysés pour {city_name} : {policy_checklist_levels}.</t>
        </is>
      </c>
      <c r="N21" s="9" t="inlineStr">
        <is>
          <t>Die folgenden Ebenen der Regierungspolitik wurden für {city_name} analysiert: {policy_checklist_levels}.</t>
        </is>
      </c>
      <c r="O21" s="9" t="inlineStr">
        <is>
          <t>Τα ακόλουθα επίπεδα κυβερνητικής πολιτικής αναλύθηκαν για το {city_name}: {policy_checklist_levels}.</t>
        </is>
      </c>
      <c r="P21" s="9" t="inlineStr">
        <is>
          <t>An yi nazarin matakan manufofin gwamnati masu zuwa don {city_name}: {policy_checklist_levels}.</t>
        </is>
      </c>
      <c r="Q21" s="8" t="inlineStr">
        <is>
          <t>{city_name} के लिए सरकारी नीति के निम्नलिखित स्तरों का विश्लेषण किया गया: {policy_checklist_levels}।</t>
        </is>
      </c>
      <c r="R21" s="9" t="inlineStr">
        <is>
          <t>Tingkat kebijakan pemerintah berikut ini dianalisis untuk {city_name}: {policy_checklist_levels}.</t>
        </is>
      </c>
      <c r="S21" s="8" t="inlineStr">
        <is>
          <t>Per {city_name} sono state analizzate le seguenti granularità per le unità amministrative: {policy_checklist_levels}.</t>
        </is>
      </c>
      <c r="T21" s="3" t="inlineStr">
        <is>
          <t>{city_name}について次のレベルの政策が分析されました: {policy_checklist_levels}。</t>
        </is>
      </c>
      <c r="U21" s="3" t="inlineStr">
        <is>
          <t>{city_name}에 대해 다음 수준의 정부 정책이 분석되었습니다: {policy_checklist_levels}.</t>
        </is>
      </c>
      <c r="V21" s="3" t="inlineStr">
        <is>
          <t>Ko nga taumata e whai ake nei o nga kaupapa here a te kawanatanga i tātarihia mo {city_name}: {policy_checklist_levels}.</t>
        </is>
      </c>
      <c r="W21" s="3" t="inlineStr">
        <is>
          <t>{city_name} का लागि सरकारी नीतिका निम्न स्तरहरू विश्लेषण गरियो: {policy_checklist_levels}।</t>
        </is>
      </c>
      <c r="X21" s="44" t="inlineStr">
        <is>
          <t>سطوح زیر از سیاست‌های حاکمیتی برای {city_name} مورد تحلیل قرار گرفت: {policy_checklist_levels}.</t>
        </is>
      </c>
      <c r="Y21" s="3" t="inlineStr">
        <is>
          <t>Os seguintes níveis de política governamental foram analisados para {city_name}: {policy_checklist_levels}.</t>
        </is>
      </c>
      <c r="Z21" s="3" t="inlineStr">
        <is>
          <t>Os seguintes níveis de política governamental foram analisados para {city_name}: {policy_checklist_levels}.</t>
        </is>
      </c>
      <c r="AA21" s="3" t="inlineStr">
        <is>
          <t>Se analizaron los siguientes niveles de política gubernamental para {city_name}: {policy_checklist_levels}.</t>
        </is>
      </c>
      <c r="AB21" s="3" t="inlineStr">
        <is>
          <t>Se analizaron los siguientes niveles de política gubernamental para {city_name}: {policy_checklist_levels}.</t>
        </is>
      </c>
      <c r="AC21" s="3" t="inlineStr">
        <is>
          <t>{city_name} க்கான அரசாங்கக் கொள்கையின் பின்வரும் நிலைகள் பகுப்பாய்வு செய்யப்பட்டன: {policy_checklist_levels}.</t>
        </is>
      </c>
      <c r="AD21" s="3" t="inlineStr">
        <is>
          <t>การ​วิเคราะห์​นโยบาย​ของ​รัฐบาล​ใน​ระดับ​ต่อ​ไป​นี้ สำหรับ {city_name}: {policy_checklist_levels}</t>
        </is>
      </c>
      <c r="AE21" s="3" t="inlineStr">
        <is>
          <t>{city_name} için şu idari kademelerdeki politikalar incelendi: {policy_checklist_levels}.</t>
        </is>
      </c>
      <c r="AF21" s="3" t="inlineStr">
        <is>
          <t>Для {city_name} було проаналізовано такі рівні державної політики: {policy_checklist_levels}.</t>
        </is>
      </c>
      <c r="AG21" s="3" t="inlineStr">
        <is>
          <t>Các cấp chính sách của chính phủ sau đây đã được phân tích cho {city_name}: {policy_checklist_levels}.</t>
        </is>
      </c>
    </row>
    <row r="22" ht="120" customHeight="1">
      <c r="A22" s="15" t="inlineStr">
        <is>
          <t>template</t>
        </is>
      </c>
      <c r="B22" s="15" t="inlineStr">
        <is>
          <t>Demographics and health equity blurb</t>
        </is>
      </c>
      <c r="C22" s="9" t="inlineStr">
        <is>
          <t>Edit the 'Demographics and health equity' section of the region configuration file to highlight socio-economic demographic characteristics and key health challenges and inequities present in this urban area.</t>
        </is>
      </c>
      <c r="D22" s="9" t="inlineStr">
        <is>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is>
      </c>
      <c r="E22" s="9" t="inlineStr">
        <is>
          <t>Editeu la secció "Demogràfica i equitat en salut" del fitxer de configuració de la regió per destacar les característiques demogràfiques socioeconòmiques i els principals reptes i desigualtats de salut presents en aquesta àrea urbana.</t>
        </is>
      </c>
      <c r="F22" s="9" t="inlineStr">
        <is>
          <t>编辑区域配置文件的“人口统计和健康公平”部分，以突出该城市地区存在的社会经济人口特征以及主要健康挑战和不平等问题。</t>
        </is>
      </c>
      <c r="G22" s="9" t="inlineStr">
        <is>
          <t>編輯區域配置文件的「人口統計和健康公平」部分，以突出該城市地區存在的社會經濟人口特徵以及主要健康挑戰和不平等問題。</t>
        </is>
      </c>
      <c r="H22" s="9" t="inlineStr">
        <is>
          <t>Uredite odjeljak 'Demografija i zdravstvena jednakost' konfiguracijske datoteke regije kako biste istaknuli socioekonomske demografske karakteristike i ključne zdravstvene izazove i nejednakosti prisutne u ovom urbanom području.</t>
        </is>
      </c>
      <c r="I22" s="8" t="inlineStr">
        <is>
          <t>Upravte část „Demografie a rovnost ve zdraví“ v konfiguračním souboru regionu, abyste zdůraznili socioekonomické demografické charakteristiky a klíčové zdravotní problémy a nerovnosti přítomné v této městské oblasti.</t>
        </is>
      </c>
      <c r="J22" s="16" t="inlineStr">
        <is>
          <t>Rediger sektionen "Demografi og sundhedslighed" i regionens konfigurationsfil for at fremhæve socioøkonomiske demografiske karakteristika og centrale sundhedsudfordringer og uligheder i dette byområde.</t>
        </is>
      </c>
      <c r="K22" s="9" t="inlineStr">
        <is>
          <t>Bewerk de sectie 'Demografie en gezondheidsgelijkheid' van het regioconfiguratiebestand om de sociaal-economische demografische kenmerken en de belangrijkste gezondheidsuitdagingen en ongelijkheden in dit stedelijk gebied te benadrukken.</t>
        </is>
      </c>
      <c r="L22" s="9" t="inlineStr">
        <is>
          <t>Muokkaa Väestötiedot ja terveyden tasa-arvo -osiota asetustiedostossa korostaaksesi väestön sosioekonomisia piirteitä, keskeisiä terveyshaasteita ja epätasa-arvoa tällä kaupunkialueella.</t>
        </is>
      </c>
      <c r="M22" s="9" t="inlineStr">
        <is>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is>
      </c>
      <c r="N22" s="9" t="inlineStr">
        <is>
          <t>Bearbeiten Sie den Abschnitt „Demografie und gesundheitliche Chancengleichheit“ der Regionskonfigurationsdatei, um sozioökonomische demografische Merkmale sowie die wichtigsten gesundheitlichen Herausforderungen und Ungleichheiten in diesem Stadtgebiet hervorzuheben.</t>
        </is>
      </c>
      <c r="O22" s="9" t="inlineStr">
        <is>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is>
      </c>
      <c r="P22" s="9" t="inlineStr">
        <is>
          <t>Shirya sashin 'Kididdiga da daidaiton lafiya' na fayil ɗin daidaitawar yanki don haskaka halayen alƙaluman zamantakewa da tattalin arziƙi da mahimman ƙalubalen lafiya da rashin daidaito da ake samu a wannan yanki na birni.</t>
        </is>
      </c>
      <c r="Q22" s="8" t="inlineStr">
        <is>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is>
      </c>
      <c r="R22" s="9" t="inlineStr">
        <is>
          <t>Edit bagian 'Demografi dan kesetaraan kesehatan' pada file konfigurasi wilayah untuk menyoroti karakteristik demografi sosio-ekonomi serta tantangan dan kesenjangan kesehatan utama yang ada di wilayah perkotaan ini.</t>
        </is>
      </c>
      <c r="S22" s="8" t="inlineStr">
        <is>
          <t xml:space="preserve"> Modifica la sezione "Dati demografici ed equità nella salute" nel file di configurazione della regione evidenziando le caratteristiche demografiche, socio-economiche, le principali sfide sanitarie e le disuguaglianze presenti in quest'area urbana.</t>
        </is>
      </c>
      <c r="T22" s="3" t="inlineStr">
        <is>
          <t>地域設定ファイルの「人口統計と健康の公平性」セクションを編集して、社会経済的な人口統計の特徴と、この都市部に存在する主要な健康上の課題と不平等をハイライトしてください。</t>
        </is>
      </c>
      <c r="U22" s="3" t="inlineStr">
        <is>
          <t>지역 구성 파일의 '인구통계 및 건강 형평성' 부분을 편집하여 이 도시 지역의 사회 경제적 인구 특성과 주요 건강 문제 및 불평등을 강조합니다.</t>
        </is>
      </c>
      <c r="V22" s="3" t="inlineStr">
        <is>
          <t>Whakatikahia te wahanga 'Taipori me te tika hauora' o te konae whirihoranga rohe ki te whakaatu i nga ahuatanga taupori-hapori-ohanga me nga wero hauora matua me nga kore tika kei roto i tenei taone nui.</t>
        </is>
      </c>
      <c r="W22" s="3" t="inlineStr">
        <is>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is>
      </c>
      <c r="X22" s="44" t="inlineStr">
        <is>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is>
      </c>
      <c r="Y22" s="3" t="inlineStr">
        <is>
          <t>Edite a se ção “Demografia e equidade na saúde” do arquivo de configuração da região para destacar as características demográficas e socioeconômicas e os principais desafios e desigualdades em saúde presentes nesta área urbana.</t>
        </is>
      </c>
      <c r="Z22" s="3" t="inlineStr">
        <is>
          <t xml:space="preserve"> Edite a secção “Demografia e equidade na saúde” do ficheiro de configuração da região para destacar as características demográficas socioeconómicas e os principais desafios e desigualdades na saúde presentes nesta área urbana.</t>
        </is>
      </c>
      <c r="AA22" s="3" t="inlineStr">
        <is>
          <t>Edite la sección 'Demografía y equidad en salud' del archivo de configuración de la región para resaltar las características demográficas socioeconómicas y principales retos e inequidades en salud presentes en esta área urbana.</t>
        </is>
      </c>
      <c r="AB22" s="3" t="inlineStr">
        <is>
          <t xml:space="preserve"> Edite la sección ''Demografía y equidad en salud' del archivo de configuración de la región para resaltar las características socioeconómicas de la población y los desafíos y desigualdades en salud clave que están presentes en esta área urbana.</t>
        </is>
      </c>
      <c r="AC22" s="3" t="inlineStr">
        <is>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is>
      </c>
      <c r="AD22" s="3" t="inlineStr">
        <is>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is>
      </c>
      <c r="AE22" s="3" t="inlineStr">
        <is>
          <t>Bu kentsel alana ait sosyoekonomik ve demografik özellikleri ile başlıca sağlık sorunları ve eşitsizliklerini vurgulamak için bölge yapılandırma dosyasının 'Demografi ve sağlık eşitliği' bölümünü düzenleyin.</t>
        </is>
      </c>
      <c r="AF22" s="3" t="inlineStr">
        <is>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is>
      </c>
      <c r="AG22" s="3" t="inlineStr">
        <is>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is>
      </c>
    </row>
    <row r="23" ht="60" customHeight="1">
      <c r="A23" s="15" t="inlineStr">
        <is>
          <t>template</t>
        </is>
      </c>
      <c r="B23" s="15" t="inlineStr">
        <is>
          <t>Environmental disaster context blurb</t>
        </is>
      </c>
      <c r="C23" s="9" t="inlineStr">
        <is>
          <t>Environmental hazards that may impact the urban area over the coming decade include: {policy_checklist_hazards}.</t>
        </is>
      </c>
      <c r="D23" s="9" t="inlineStr">
        <is>
          <t>تشمل المخاطر البيئية التي قد تؤثر على المنطقة الحضرية خلال العقد القادم ما يلي: {policy_checklist_hazards}.</t>
        </is>
      </c>
      <c r="E23" s="9" t="inlineStr">
        <is>
          <t>Els perills ambientals que poden afectar l'àrea urbana durant la propera dècada inclouen: {policy_checklist_hazards}.</t>
        </is>
      </c>
      <c r="F23" s="9" t="inlineStr">
        <is>
          <t>未来十年可能影响城市地区的环境危害包括：{policy_checklist_hazards}。</t>
        </is>
      </c>
      <c r="G23" s="9" t="inlineStr">
        <is>
          <t>未來十年可能影響城市地區的環境危害包括：{policy_checklist_hazards}。</t>
        </is>
      </c>
      <c r="H23" s="9" t="inlineStr">
        <is>
          <t>Opasnosti za okoliš koje bi mogle utjecati na urbano područje u narednom desetljeću uključuju: {policy_checklist_hazards}.</t>
        </is>
      </c>
      <c r="I23" s="8" t="inlineStr">
        <is>
          <t>Mezi environmentální rizika, která mohou ovlivnit městskou oblast v nadcházejícím desetiletí, patří: {policy_checklist_hazards}.</t>
        </is>
      </c>
      <c r="J23" s="16" t="inlineStr">
        <is>
          <t>Miljøfarer, der kan påvirke byområdet i løbet af det kommende årti, omfatter: {policy_checklist_hazards}.</t>
        </is>
      </c>
      <c r="K23" s="9" t="inlineStr">
        <is>
          <t>Milieugevaren die het komende decennium van invloed kunnen zijn op het stedelijk gebied zijn onder meer: {policy_checklist_hazards}.</t>
        </is>
      </c>
      <c r="L23" s="9" t="inlineStr">
        <is>
          <t>Ympäristöhaitat ja -riskit, jotka voivat vaikuttaa kaupunkialueeseen seuraavan vuosikymmenen aikana: {policy_checklist_hazards}.</t>
        </is>
      </c>
      <c r="M23" s="9" t="inlineStr">
        <is>
          <t>Les risques environnementaux qui pourraient avoir un impact sur la zone urbaine au cours de la décennie à venir comprennent : {policy_checklist_hazards}.</t>
        </is>
      </c>
      <c r="N23" s="9" t="inlineStr">
        <is>
          <t>Zu den Umweltgefahren, die sich im kommenden Jahrzehnt auf das Stadtgebiet auswirken könnten, gehören: {policy_checklist_hazards}.</t>
        </is>
      </c>
      <c r="O23" s="9" t="inlineStr">
        <is>
          <t>Οι περιβαλλοντικοί κίνδυνοι που ενδέχεται να επηρεάσουν την αστική περιοχή την επόμενη δεκαετία περιλαμβάνουν: {policy_checklist_hazards}.</t>
        </is>
      </c>
      <c r="P23" s="9" t="inlineStr">
        <is>
          <t>Hatsarin muhalli da zai iya yin tasiri a cikin birni cikin shekaru goma masu zuwa sun haɗa da: {policy_checklist_hazards}.</t>
        </is>
      </c>
      <c r="Q23" s="8" t="inlineStr">
        <is>
          <t>आने वाले दशक में शहरी क्षेत्र को प्रभावित करने वाले पर्यावरणीय खतरों में शामिल हैं: {policy_checklist_hazards}.</t>
        </is>
      </c>
      <c r="R23" s="9" t="inlineStr">
        <is>
          <t>Bahaya lingkungan yang mungkin berdampak pada wilayah perkotaan dalam dekade mendatang meliputi: {policy_checklist_hazards}.</t>
        </is>
      </c>
      <c r="S23" s="8" t="inlineStr">
        <is>
          <t>I rischi ambientali che potrebbero avere un impatto sull'area urbana nel prossimo decennio includono: {policy_checklist_hazards}.</t>
        </is>
      </c>
      <c r="T23" s="3" t="inlineStr">
        <is>
          <t>今後10年間に都市部に影響を与える可能性のある環境上のハザードには、{policy_checklist_hazards}が含まれます。</t>
        </is>
      </c>
      <c r="U23" s="3" t="inlineStr">
        <is>
          <t>향후 10년 동안 도시 지역에 영향을 미칠 수 있는 환경 위험은 다음과 같습니다. {policy_checklist_hazards}.</t>
        </is>
      </c>
      <c r="V23" s="3" t="inlineStr">
        <is>
          <t>Ko nga aitua taiao ka pa ki te taone nui i roto i nga tau tekau kei te heke mai ko: {policy_checklist_hazards}.</t>
        </is>
      </c>
      <c r="W23" s="3" t="inlineStr">
        <is>
          <t>आगामी दशकमा सहरी क्षेत्रलाई असर गर्न सक्ने वातावरणीय खतराहरू समावेश छन्: {policy_checklist_hazards}।</t>
        </is>
      </c>
      <c r="X23" s="44" t="inlineStr">
        <is>
          <t>خطرات زیست محیطی که ممکن است در طول دهه آینده بر منطقه شهری تاثیر بگذارند عبارتند از: {policy_checklist_hazards}.</t>
        </is>
      </c>
      <c r="Y23" s="3" t="inlineStr">
        <is>
          <t>Os riscos ambientais que podem impactar a área urbana na próxima década incluem: {policy_checklist_hazards}.</t>
        </is>
      </c>
      <c r="Z23" s="3" t="inlineStr">
        <is>
          <t>Os riscos ambientais que podem ter impacto  na área urbana na próxima década incluem: {policy_checklist_hazards}.</t>
        </is>
      </c>
      <c r="AA23" s="3" t="inlineStr">
        <is>
          <t xml:space="preserve">Entre los riesgos ambientales que pueden afectar el área urbana durante la próxima década se encuentran: {policy_checklist_hazards}.  </t>
        </is>
      </c>
      <c r="AB23" s="3" t="inlineStr">
        <is>
          <t>Los peligros ambientales que pueden afectar el área urbana durante la próxima década incluyen: {policy_checklist_hazards} .</t>
        </is>
      </c>
      <c r="AC23" s="3" t="inlineStr">
        <is>
          <t>வரவிருக்கும் தசாப்தத்தில் நகர்ப்புறத்தை பாதிக்கக்கூடிய சுற்றுச்சூழல் அபாயங்கள்: {policy_checklist_hazards}.</t>
        </is>
      </c>
      <c r="AD23" s="3" t="inlineStr">
        <is>
          <t>อันตราย​ทาง​สิ่ง​แวด​ล้อม​ที่​อาจ​ส่ง​ผล​กระทบ​ต่อ​เขต​เมือง​ใน​ทศวรรษ​ต่อๆ ไป ได้แก่: {policy_checklist_hazards}.</t>
        </is>
      </c>
      <c r="AE23" s="3" t="inlineStr">
        <is>
          <t>Önümüzdeki on yılda kentsel alanı etkileyebilecek çevresel tehlikeler arasında şunlar yer almaktadır: {policy_checklist_hazards}.</t>
        </is>
      </c>
      <c r="AF23" s="3" t="inlineStr">
        <is>
          <t>Екологічні небезпеки, які можуть вплинути на міську територію протягом наступного десятиліття, включають: {policy_checklist_hazards}.</t>
        </is>
      </c>
      <c r="AG23" s="3" t="inlineStr">
        <is>
          <t>Các mối nguy hiểm về môi trường có thể ảnh hưởng đến khu vực đô thị trong thập kỷ tới bao gồm: {policy_checklist_hazards}.</t>
        </is>
      </c>
    </row>
    <row r="24" ht="105" customHeight="1">
      <c r="A24" s="15" t="inlineStr">
        <is>
          <t>template</t>
        </is>
      </c>
      <c r="B24" s="15" t="inlineStr">
        <is>
          <t>Additional context blurb</t>
        </is>
      </c>
      <c r="C24" s="9" t="inlineStr">
        <is>
          <t>Detail any other considerations relating to urban health inequities and geography in this city, or data considerations that could influence interpretation of findings.</t>
        </is>
      </c>
      <c r="D24" s="9" t="inlineStr">
        <is>
          <t>قم بتفصيل أي اعتبارات أخرى تتعلق بعدم المساواة في الصحة الحضرية والجغرافيه في هذه المدينة، أو اعتبارات البيانات التي يمكن أن تؤثر على تفسير النتائج.</t>
        </is>
      </c>
      <c r="E24" s="9" t="inlineStr">
        <is>
          <t>Detalli qualsevol altra consideració relacionada amb les desigualtats en salut urbana i la geografia d'aquesta ciutat, o consideracions de dades que puguin influir en la interpretació de les conclusions.</t>
        </is>
      </c>
      <c r="F24" s="9" t="inlineStr">
        <is>
          <t>详细说明与该城市的城市健康不平等和地理特征相关的任何其他因素，或可能影响结果解释的数据因素。</t>
        </is>
      </c>
      <c r="G24" s="9" t="inlineStr">
        <is>
          <t>詳細說明與該城市的城市健康不平等和地理特徵相關的任何其他因素，或可能影響結果解釋的數據因素。</t>
        </is>
      </c>
      <c r="H24" s="9" t="inlineStr">
        <is>
          <t>Detaljno navedite sva druga razmatranja koja se odnose na urbane zdravstvene nejednakosti i geografiju u ovom gradu ili razmatranja podataka koja bi mogla utjecati na tumačenje nalaza.</t>
        </is>
      </c>
      <c r="I24" s="8" t="inlineStr">
        <is>
          <t>Uveďte podrobně jakákoli další hlediska týkající se nerovností v oblasti městského zdraví a geografie v tomto městě nebo úvahy o datech, které by mohly ovlivnit interpretaci zjištění.</t>
        </is>
      </c>
      <c r="J24" s="16" t="inlineStr">
        <is>
          <t>Detaljerede eventuelle andre overvejelser vedrørende uligheder i byernes sundhed og geografi i denne by, eller dataovervejelser, der kan påvirke fortolkningen af resultaterne.</t>
        </is>
      </c>
      <c r="K24" s="9" t="inlineStr">
        <is>
          <t>Geef een gedetailleerd overzicht van eventuele andere overwegingen met betrekking tot ongelijkheid op gezondheidsgebied in de stad en de geografie in deze stad, of gegevensoverwegingen die de interpretatie van bevindingen zouden kunnen beïnvloeden.</t>
        </is>
      </c>
      <c r="L24" s="9" t="inlineStr">
        <is>
          <t>Listaa muita terveyteen, kaupunkikehitykseen tai aineistoihin liittyviä huomioita, kehityskulkuja tai haasteita, jotka voivat vaikuttaa havaintojen tulkintaan.</t>
        </is>
      </c>
      <c r="M24" s="9" t="inlineStr">
        <is>
          <t>Détaillez toute autre considération relative aux inégalités en matière de santé urbaine et à la géographie dans cette ville, ou toute considération relative aux données qui pourrait influencer l’interprétation des résultats.</t>
        </is>
      </c>
      <c r="N24" s="9" t="inlineStr">
        <is>
          <t>Erläutern Sie alle anderen Überlegungen im Zusammenhang mit städtischen gesundheitlichen Ungleichheiten und der Geografie dieser Stadt oder Datenüberlegungen, die die Interpretation der Ergebnisse beeinflussen könnten.</t>
        </is>
      </c>
      <c r="O24" s="9" t="inlineStr">
        <is>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is>
      </c>
      <c r="P24" s="9" t="inlineStr">
        <is>
          <t>Cikakkun duk wasu la'akari da suka shafi rashin daidaiton lafiyar birane da yanayin ƙasa a cikin wannan birni, ko la'akari da bayanan da za su iya yin tasiri ga fassarar binciken.</t>
        </is>
      </c>
      <c r="Q24" s="8" t="inlineStr">
        <is>
          <t>इस शहर में शहरी स्वास्थ्य असमानताओं और भूगोल, या डेटा विचारों से संबंधित किसी भी अन्य विचार का विवरण दें जो निष्कर्षों की व्याख्या को प्रभावित कर सकता है।</t>
        </is>
      </c>
      <c r="R24" s="9" t="inlineStr">
        <is>
          <t>Rincikan pertimbangan lain yang berkaitan dengan kesenjangan kesehatan perkotaan dan geografi di kota ini, atau pertimbangan data yang dapat memengaruhi interpretasi temuan.</t>
        </is>
      </c>
      <c r="S24" s="8" t="inlineStr">
        <is>
          <t>Dettaglia eventuali considerazioni aggiuntive relative alle disuguaglianze nella salute pubblica e alla geografia di questa città, o considerazioni sui dati che potrebbero influenzare l'interpretazione dei risultati.</t>
        </is>
      </c>
      <c r="T24" s="3" t="inlineStr">
        <is>
          <t>この都市の都市部の健康上の不平等と地理に関するその他の考慮事項、または調査結果の解釈に影響を与える可能性のあるデータの考慮事項を詳しく説明してください。</t>
        </is>
      </c>
      <c r="U24" s="3" t="inlineStr">
        <is>
          <t>이 도시에서의 도시 건강 불평등 및 지리와 관련된 기타 고려 사항 또는 연구 결과 해석에 영향을 미칠 수 있는 데이터 관련 고려 사항을 자세히 설명합니다.</t>
        </is>
      </c>
      <c r="V24" s="3" t="inlineStr">
        <is>
          <t>Whakamāramahia etahi atu whakaaro e pa ana ki nga koretake o te hauora taone me te matawhenua o tenei taone, me nga whakaaro raraunga ka whakaawe i te whakamaoritanga o nga kitenga.</t>
        </is>
      </c>
      <c r="W24" s="3" t="inlineStr">
        <is>
          <t>यस सहरको सहरी स्वास्थ्य असमानता र भूगोलसँग सम्बन्धित कुनै पनि अन्य विचारहरू, वा निष्कर्षहरूको व्याख्यालाई प्रभाव पार्न सक्ने डेटा विचारहरूको विवरण दिनुहोस्।</t>
        </is>
      </c>
      <c r="X24" s="44" t="inlineStr">
        <is>
          <t>هرگونه ملاحظات دیگر مرتبط با نابرابری‌های سلامت شهری و جغرافیا در این شهر، یا ملاحظات داده‌ای که می‌توانند بر تفسیر یافته‌ها تأثیر بگذارند را شرح دهید.</t>
        </is>
      </c>
      <c r="Y24" s="3" t="inlineStr">
        <is>
          <t>Detalhe quaisquer outras considerações relacionadas com as desigualdades na saúde urbana e a geografia desta cidade, ou considerações sobre dados que possam influenciar a interpretação dos resultados.</t>
        </is>
      </c>
      <c r="Z24" s="3" t="inlineStr">
        <is>
          <t>Detalhe quaisquer outras considerações relacionadas com as desigualdades na saúde urbana e a geografia nesta cidade, ou considerações sobre dados que possam influenciar a interpretação dos resultados.</t>
        </is>
      </c>
      <c r="AA24" s="3" t="inlineStr">
        <is>
          <t>Indique cualquier otra consideración relacionada con las inequidades en salud urbana y la geografía de esta ciudad, o aspectos de los datos que puedan influir en la interpretación de los resultados.</t>
        </is>
      </c>
      <c r="AB24" s="3" t="inlineStr">
        <is>
          <t>Detalle cualquier otra consideración relacionada con las desigualdades en salud urbana y la geografía en esta ciudad, o consideraciones sobre los datos que podrían influir en la interpretación de los hallazgos.</t>
        </is>
      </c>
      <c r="AC24" s="3" t="inlineStr">
        <is>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is>
      </c>
      <c r="AD24" s="3" t="inlineStr">
        <is>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is>
      </c>
      <c r="AE24" s="3" t="inlineStr">
        <is>
          <t>Bu şehirdeki kentsel sağlık eşitsizlikleri ve coğrafya ile ilgili diğer hususları veya bulguların yorumlanmasını etkileyebilecek veriye ilişkin hususları ayrıntılarıyla belirtin.</t>
        </is>
      </c>
      <c r="AF24" s="3" t="inlineStr">
        <is>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is>
      </c>
      <c r="AG24" s="3" t="inlineStr">
        <is>
          <t>Trình bày chi tiết mọi cân nhắc khác liên quan đến sự bất bình đẳng  sức khỏe đô thị và địa lý ở thành phố này hoặc những cân nhắc về dữ liệu có thể ảnh hưởng đến việc diễn giải các phát hiện.</t>
        </is>
      </c>
    </row>
    <row r="25">
      <c r="A25" s="15" t="inlineStr">
        <is>
          <t>policy</t>
        </is>
      </c>
      <c r="B25" s="15" t="inlineStr">
        <is>
          <t>Local</t>
        </is>
      </c>
      <c r="C25" s="9" t="inlineStr">
        <is>
          <t>Local</t>
        </is>
      </c>
      <c r="D25" s="8" t="inlineStr">
        <is>
          <t>محلي</t>
        </is>
      </c>
      <c r="E25" s="8" t="inlineStr">
        <is>
          <t>Local</t>
        </is>
      </c>
      <c r="F25" s="9" t="inlineStr">
        <is>
          <t>当地</t>
        </is>
      </c>
      <c r="G25" s="8" t="inlineStr">
        <is>
          <t>當地</t>
        </is>
      </c>
      <c r="H25" s="16" t="inlineStr">
        <is>
          <t>Lokalni</t>
        </is>
      </c>
      <c r="I25" s="8" t="inlineStr">
        <is>
          <t>Místní</t>
        </is>
      </c>
      <c r="J25" s="16" t="inlineStr">
        <is>
          <t>Lokal</t>
        </is>
      </c>
      <c r="K25" s="16" t="inlineStr">
        <is>
          <t>Lokaal</t>
        </is>
      </c>
      <c r="L25" s="8" t="inlineStr">
        <is>
          <t>Paikallinen</t>
        </is>
      </c>
      <c r="M25" s="8" t="inlineStr">
        <is>
          <t>Locale</t>
        </is>
      </c>
      <c r="N25" s="8" t="inlineStr">
        <is>
          <t>Lokal</t>
        </is>
      </c>
      <c r="O25" s="8" t="inlineStr">
        <is>
          <t>Τοπικός</t>
        </is>
      </c>
      <c r="P25" s="8" t="inlineStr">
        <is>
          <t>Na gida</t>
        </is>
      </c>
      <c r="Q25" s="8" t="inlineStr">
        <is>
          <t>स्थानीय</t>
        </is>
      </c>
      <c r="R25" s="8" t="inlineStr">
        <is>
          <t>Lokal</t>
        </is>
      </c>
      <c r="S25" s="8" t="inlineStr">
        <is>
          <t>Locale</t>
        </is>
      </c>
      <c r="T25" s="3" t="inlineStr">
        <is>
          <t>ローカル</t>
        </is>
      </c>
      <c r="U25" s="3" t="inlineStr">
        <is>
          <t>지방(지자체)</t>
        </is>
      </c>
      <c r="V25" s="3" t="inlineStr">
        <is>
          <t>rohe</t>
        </is>
      </c>
      <c r="W25" s="3" t="inlineStr">
        <is>
          <t>स्थानिय</t>
        </is>
      </c>
      <c r="X25" s="44" t="inlineStr">
        <is>
          <t>محلی</t>
        </is>
      </c>
      <c r="Y25" s="3" t="inlineStr">
        <is>
          <t>Local/Municipal</t>
        </is>
      </c>
      <c r="Z25" s="3" t="inlineStr">
        <is>
          <t>Local</t>
        </is>
      </c>
      <c r="AA25" s="3" t="inlineStr">
        <is>
          <t>Local</t>
        </is>
      </c>
      <c r="AB25" s="3" t="inlineStr">
        <is>
          <t>Local</t>
        </is>
      </c>
      <c r="AC25" s="3" t="inlineStr">
        <is>
          <t>உள்ளூர்</t>
        </is>
      </c>
      <c r="AD25" s="3" t="inlineStr">
        <is>
          <t>ส่วน​ท้อง​ถิ่น</t>
        </is>
      </c>
      <c r="AE25" s="3" t="inlineStr">
        <is>
          <t>Yerel</t>
        </is>
      </c>
      <c r="AF25" s="3" t="inlineStr">
        <is>
          <t>Місцевий</t>
        </is>
      </c>
      <c r="AG25" s="3" t="inlineStr">
        <is>
          <t>Địa phương</t>
        </is>
      </c>
    </row>
    <row r="26">
      <c r="A26" s="15" t="inlineStr">
        <is>
          <t>policy</t>
        </is>
      </c>
      <c r="B26" s="15" t="inlineStr">
        <is>
          <t>Metropolitan</t>
        </is>
      </c>
      <c r="C26" s="9" t="inlineStr">
        <is>
          <t>Metropolitan</t>
        </is>
      </c>
      <c r="D26" s="8" t="inlineStr">
        <is>
          <t>المدن الكبرى</t>
        </is>
      </c>
      <c r="E26" s="8" t="inlineStr">
        <is>
          <t>Metropolitana</t>
        </is>
      </c>
      <c r="F26" s="9" t="inlineStr">
        <is>
          <t>大都市</t>
        </is>
      </c>
      <c r="G26" s="8" t="inlineStr">
        <is>
          <t>大都市</t>
        </is>
      </c>
      <c r="H26" s="16" t="inlineStr">
        <is>
          <t>mitropolita</t>
        </is>
      </c>
      <c r="I26" s="8" t="inlineStr">
        <is>
          <t>Metropolitní</t>
        </is>
      </c>
      <c r="J26" s="16" t="inlineStr">
        <is>
          <t>Metropolitan</t>
        </is>
      </c>
      <c r="K26" s="16" t="inlineStr">
        <is>
          <t>Metropolitaans</t>
        </is>
      </c>
      <c r="L26" s="8" t="inlineStr">
        <is>
          <t>Kaupunkiseututasoinen</t>
        </is>
      </c>
      <c r="M26" s="8" t="inlineStr">
        <is>
          <t>Métropolitain</t>
        </is>
      </c>
      <c r="N26" s="8" t="inlineStr">
        <is>
          <t>Großstädtisch</t>
        </is>
      </c>
      <c r="O26" s="8" t="inlineStr">
        <is>
          <t>Μητροπολίτης</t>
        </is>
      </c>
      <c r="P26" s="8" t="inlineStr">
        <is>
          <t>Metropolitan</t>
        </is>
      </c>
      <c r="Q26" s="8" t="inlineStr">
        <is>
          <t>महानगर</t>
        </is>
      </c>
      <c r="R26" s="8" t="inlineStr">
        <is>
          <t>metropolitan</t>
        </is>
      </c>
      <c r="S26" s="8" t="inlineStr">
        <is>
          <t>Comunale</t>
        </is>
      </c>
      <c r="T26" s="3" t="inlineStr">
        <is>
          <t>メトロポリタン</t>
        </is>
      </c>
      <c r="U26" s="3" t="inlineStr">
        <is>
          <t>대도시</t>
        </is>
      </c>
      <c r="V26" s="3" t="inlineStr">
        <is>
          <t>Metropolitan</t>
        </is>
      </c>
      <c r="W26" s="3" t="inlineStr">
        <is>
          <t>महानगर</t>
        </is>
      </c>
      <c r="X26" s="44" t="inlineStr">
        <is>
          <t>کلانشهر</t>
        </is>
      </c>
      <c r="Y26" s="3" t="inlineStr">
        <is>
          <t>Metropolitano</t>
        </is>
      </c>
      <c r="Z26" s="3" t="inlineStr">
        <is>
          <t>Metropolitano</t>
        </is>
      </c>
      <c r="AA26" s="3" t="inlineStr">
        <is>
          <t>Metropolitano</t>
        </is>
      </c>
      <c r="AB26" s="3" t="inlineStr">
        <is>
          <t>metropolitano</t>
        </is>
      </c>
      <c r="AC26" s="3" t="inlineStr">
        <is>
          <t>பெருநகரம்</t>
        </is>
      </c>
      <c r="AD26" s="3" t="inlineStr">
        <is>
          <t>นคร​หลวง</t>
        </is>
      </c>
      <c r="AE26" s="3" t="inlineStr">
        <is>
          <t>Büyükşehir</t>
        </is>
      </c>
      <c r="AF26" s="3" t="inlineStr">
        <is>
          <t>митрополит</t>
        </is>
      </c>
      <c r="AG26" s="3" t="inlineStr">
        <is>
          <t>Khu vực đô thị</t>
        </is>
      </c>
    </row>
    <row r="27">
      <c r="A27" s="15" t="inlineStr">
        <is>
          <t>policy</t>
        </is>
      </c>
      <c r="B27" s="15" t="inlineStr">
        <is>
          <t>Regional</t>
        </is>
      </c>
      <c r="C27" s="9" t="inlineStr">
        <is>
          <t>Regional</t>
        </is>
      </c>
      <c r="D27" s="8" t="inlineStr">
        <is>
          <t>إقليمي</t>
        </is>
      </c>
      <c r="E27" s="8" t="inlineStr">
        <is>
          <t>Regionals</t>
        </is>
      </c>
      <c r="F27" s="9" t="inlineStr">
        <is>
          <t>区域</t>
        </is>
      </c>
      <c r="G27" s="8" t="inlineStr">
        <is>
          <t>區域</t>
        </is>
      </c>
      <c r="H27" s="16" t="inlineStr">
        <is>
          <t>Regionalni</t>
        </is>
      </c>
      <c r="I27" s="8" t="inlineStr">
        <is>
          <t>Regionální</t>
        </is>
      </c>
      <c r="J27" s="16" t="inlineStr">
        <is>
          <t>Regional</t>
        </is>
      </c>
      <c r="K27" s="16" t="inlineStr">
        <is>
          <t>Regionaal</t>
        </is>
      </c>
      <c r="L27" s="8" t="inlineStr">
        <is>
          <t>Seudullinen</t>
        </is>
      </c>
      <c r="M27" s="8" t="inlineStr">
        <is>
          <t>Régional</t>
        </is>
      </c>
      <c r="N27" s="8" t="inlineStr">
        <is>
          <t>Regional</t>
        </is>
      </c>
      <c r="O27" s="8" t="inlineStr">
        <is>
          <t>Περιφερειακό</t>
        </is>
      </c>
      <c r="P27" s="8" t="inlineStr">
        <is>
          <t>Yanki</t>
        </is>
      </c>
      <c r="Q27" s="8" t="inlineStr">
        <is>
          <t>क्षेत्रीय</t>
        </is>
      </c>
      <c r="R27" s="8" t="inlineStr">
        <is>
          <t>Daerah</t>
        </is>
      </c>
      <c r="S27" s="8" t="inlineStr">
        <is>
          <t>Regionale</t>
        </is>
      </c>
      <c r="T27" s="3" t="inlineStr">
        <is>
          <t>地方</t>
        </is>
      </c>
      <c r="U27" s="3" t="inlineStr">
        <is>
          <t>지역</t>
        </is>
      </c>
      <c r="V27" s="3" t="inlineStr">
        <is>
          <t>Rohe</t>
        </is>
      </c>
      <c r="W27" s="3" t="inlineStr">
        <is>
          <t>क्षेत्रीय</t>
        </is>
      </c>
      <c r="X27" s="44" t="inlineStr">
        <is>
          <t>منطقه‌ای</t>
        </is>
      </c>
      <c r="Y27" s="3" t="inlineStr">
        <is>
          <t>Regional</t>
        </is>
      </c>
      <c r="Z27" s="3" t="inlineStr">
        <is>
          <t>Regional</t>
        </is>
      </c>
      <c r="AA27" s="3" t="inlineStr">
        <is>
          <t>Regional</t>
        </is>
      </c>
      <c r="AB27" s="3" t="inlineStr">
        <is>
          <t>regional</t>
        </is>
      </c>
      <c r="AC27" s="3" t="inlineStr">
        <is>
          <t>பிராந்தியமானது</t>
        </is>
      </c>
      <c r="AD27" s="3" t="inlineStr">
        <is>
          <t>เฉพาะ​ท้อง​ถิ่น</t>
        </is>
      </c>
      <c r="AE27" s="3" t="inlineStr">
        <is>
          <t>Bölgesel</t>
        </is>
      </c>
      <c r="AF27" s="3" t="inlineStr">
        <is>
          <t>Регіональний</t>
        </is>
      </c>
      <c r="AG27" s="3" t="inlineStr">
        <is>
          <t>Khu vực ngoại đô / khu vực nông thôn</t>
        </is>
      </c>
    </row>
    <row r="28">
      <c r="A28" s="15" t="inlineStr">
        <is>
          <t>policy</t>
        </is>
      </c>
      <c r="B28" s="15" t="inlineStr">
        <is>
          <t>State</t>
        </is>
      </c>
      <c r="C28" s="9" t="inlineStr">
        <is>
          <t>State</t>
        </is>
      </c>
      <c r="D28" s="8" t="inlineStr">
        <is>
          <t>ولاية</t>
        </is>
      </c>
      <c r="E28" s="8" t="inlineStr">
        <is>
          <t>Estat</t>
        </is>
      </c>
      <c r="F28" s="9" t="inlineStr">
        <is>
          <t xml:space="preserve">省份 </t>
        </is>
      </c>
      <c r="G28" s="8" t="inlineStr">
        <is>
          <t>省份</t>
        </is>
      </c>
      <c r="H28" s="16" t="inlineStr">
        <is>
          <t>država</t>
        </is>
      </c>
      <c r="I28" s="8" t="inlineStr">
        <is>
          <t>Stát</t>
        </is>
      </c>
      <c r="J28" s="16" t="inlineStr">
        <is>
          <t>Stat</t>
        </is>
      </c>
      <c r="K28" s="16" t="inlineStr">
        <is>
          <t>Staat</t>
        </is>
      </c>
      <c r="L28" s="8" t="inlineStr">
        <is>
          <t>Maakunta</t>
        </is>
      </c>
      <c r="M28" s="8" t="inlineStr">
        <is>
          <t>État</t>
        </is>
      </c>
      <c r="N28" s="8" t="inlineStr">
        <is>
          <t>Zustand</t>
        </is>
      </c>
      <c r="O28" s="8" t="inlineStr">
        <is>
          <t>κατάσταση</t>
        </is>
      </c>
      <c r="P28" s="8" t="inlineStr">
        <is>
          <t>Jiha</t>
        </is>
      </c>
      <c r="Q28" s="8" t="inlineStr">
        <is>
          <t>राज्य</t>
        </is>
      </c>
      <c r="R28" s="8" t="inlineStr">
        <is>
          <t>Negara</t>
        </is>
      </c>
      <c r="S28" s="8" t="inlineStr">
        <is>
          <t xml:space="preserve">Statale </t>
        </is>
      </c>
      <c r="T28" s="3" t="inlineStr">
        <is>
          <t>州</t>
        </is>
      </c>
      <c r="U28" s="3" t="inlineStr">
        <is>
          <t>주</t>
        </is>
      </c>
      <c r="V28" s="3" t="inlineStr">
        <is>
          <t>State</t>
        </is>
      </c>
      <c r="W28" s="3" t="inlineStr">
        <is>
          <t>राज्य</t>
        </is>
      </c>
      <c r="X28" s="44" t="inlineStr">
        <is>
          <t>استان</t>
        </is>
      </c>
      <c r="Y28" s="3" t="inlineStr">
        <is>
          <t>Estadual</t>
        </is>
      </c>
      <c r="Z28" s="3" t="inlineStr">
        <is>
          <t>Estado</t>
        </is>
      </c>
      <c r="AA28" s="3" t="inlineStr">
        <is>
          <t>Estado</t>
        </is>
      </c>
      <c r="AB28" s="3" t="inlineStr">
        <is>
          <t>autonómico</t>
        </is>
      </c>
      <c r="AC28" s="3" t="inlineStr">
        <is>
          <t>நிலை</t>
        </is>
      </c>
      <c r="AD28" s="3" t="inlineStr">
        <is>
          <t>รัฐ</t>
        </is>
      </c>
      <c r="AE28" s="3" t="inlineStr">
        <is>
          <t>Devlet</t>
        </is>
      </c>
      <c r="AF28" s="3" t="inlineStr">
        <is>
          <t>Держава</t>
        </is>
      </c>
      <c r="AG28" s="3" t="inlineStr">
        <is>
          <t>Tỉnh</t>
        </is>
      </c>
    </row>
    <row r="29">
      <c r="A29" s="15" t="inlineStr">
        <is>
          <t>policy</t>
        </is>
      </c>
      <c r="B29" s="15" t="inlineStr">
        <is>
          <t>National</t>
        </is>
      </c>
      <c r="C29" s="9" t="inlineStr">
        <is>
          <t>National</t>
        </is>
      </c>
      <c r="D29" s="8" t="inlineStr">
        <is>
          <t>وطني</t>
        </is>
      </c>
      <c r="E29" s="8" t="inlineStr">
        <is>
          <t>Nacional</t>
        </is>
      </c>
      <c r="F29" s="9" t="inlineStr">
        <is>
          <t>国家</t>
        </is>
      </c>
      <c r="G29" s="8" t="inlineStr">
        <is>
          <t>國家</t>
        </is>
      </c>
      <c r="H29" s="16" t="inlineStr">
        <is>
          <t>Nacionalni</t>
        </is>
      </c>
      <c r="I29" s="8" t="inlineStr">
        <is>
          <t>Národní</t>
        </is>
      </c>
      <c r="J29" s="16" t="inlineStr">
        <is>
          <t>national</t>
        </is>
      </c>
      <c r="K29" s="16" t="inlineStr">
        <is>
          <t>Nationaal</t>
        </is>
      </c>
      <c r="L29" s="8" t="inlineStr">
        <is>
          <t>Kansallinen</t>
        </is>
      </c>
      <c r="M29" s="8" t="inlineStr">
        <is>
          <t>National</t>
        </is>
      </c>
      <c r="N29" s="8" t="inlineStr">
        <is>
          <t>National</t>
        </is>
      </c>
      <c r="O29" s="8" t="inlineStr">
        <is>
          <t>Εθνικός</t>
        </is>
      </c>
      <c r="P29" s="8" t="inlineStr">
        <is>
          <t>Ƙasa</t>
        </is>
      </c>
      <c r="Q29" s="8" t="inlineStr">
        <is>
          <t>राष्ट्रीय</t>
        </is>
      </c>
      <c r="R29" s="8" t="inlineStr">
        <is>
          <t>Nasional</t>
        </is>
      </c>
      <c r="S29" s="8" t="inlineStr">
        <is>
          <t>Nazionale</t>
        </is>
      </c>
      <c r="T29" s="3" t="inlineStr">
        <is>
          <t>国</t>
        </is>
      </c>
      <c r="U29" s="3" t="inlineStr">
        <is>
          <t>국가</t>
        </is>
      </c>
      <c r="V29" s="3" t="inlineStr">
        <is>
          <t>Motu</t>
        </is>
      </c>
      <c r="W29" s="3" t="inlineStr">
        <is>
          <t>राष्ट्रिय</t>
        </is>
      </c>
      <c r="X29" s="44" t="inlineStr">
        <is>
          <t>ملی</t>
        </is>
      </c>
      <c r="Y29" s="3" t="inlineStr">
        <is>
          <t>Nacional</t>
        </is>
      </c>
      <c r="Z29" s="3" t="inlineStr">
        <is>
          <t>Nacional</t>
        </is>
      </c>
      <c r="AA29" s="3" t="inlineStr">
        <is>
          <t>Nacional</t>
        </is>
      </c>
      <c r="AB29" s="3" t="inlineStr">
        <is>
          <t>nacional</t>
        </is>
      </c>
      <c r="AC29" s="3" t="inlineStr">
        <is>
          <t>தேசிய</t>
        </is>
      </c>
      <c r="AD29" s="3" t="inlineStr">
        <is>
          <t>ระดับ​ชาติ</t>
        </is>
      </c>
      <c r="AE29" s="3" t="inlineStr">
        <is>
          <t>Ulusal</t>
        </is>
      </c>
      <c r="AF29" s="3" t="inlineStr">
        <is>
          <t>Національний</t>
        </is>
      </c>
      <c r="AG29" s="3" t="inlineStr">
        <is>
          <t>Quốc gia Toàn quốc</t>
        </is>
      </c>
    </row>
    <row r="30">
      <c r="A30" s="15" t="inlineStr">
        <is>
          <t>context</t>
        </is>
      </c>
      <c r="B30" s="15" t="inlineStr">
        <is>
          <t>Severe storms</t>
        </is>
      </c>
      <c r="C30" s="9" t="inlineStr">
        <is>
          <t>severe storms</t>
        </is>
      </c>
      <c r="D30" s="9" t="inlineStr">
        <is>
          <t>العواصف الشديدة</t>
        </is>
      </c>
      <c r="E30" s="9" t="inlineStr">
        <is>
          <t>Tempestes fortes</t>
        </is>
      </c>
      <c r="F30" s="9" t="inlineStr">
        <is>
          <t>强风暴</t>
        </is>
      </c>
      <c r="G30" s="9" t="inlineStr">
        <is>
          <t>強風暴</t>
        </is>
      </c>
      <c r="H30" s="24" t="inlineStr">
        <is>
          <t>Jake oluje</t>
        </is>
      </c>
      <c r="I30" s="8" t="inlineStr">
        <is>
          <t>Prudké bouřky</t>
        </is>
      </c>
      <c r="J30" s="16" t="inlineStr">
        <is>
          <t>Kraftige storme</t>
        </is>
      </c>
      <c r="K30" s="24" t="inlineStr">
        <is>
          <t>Zware stormen</t>
        </is>
      </c>
      <c r="L30" s="9" t="inlineStr">
        <is>
          <t>myrskyt</t>
        </is>
      </c>
      <c r="M30" s="9" t="inlineStr">
        <is>
          <t>De violentes tempêtes</t>
        </is>
      </c>
      <c r="N30" s="9" t="inlineStr">
        <is>
          <t>Schwere Stürme</t>
        </is>
      </c>
      <c r="O30" s="9" t="inlineStr">
        <is>
          <t>Σφοδρές καταιγίδες</t>
        </is>
      </c>
      <c r="P30" s="9" t="inlineStr">
        <is>
          <t>Guguwa mai tsanani</t>
        </is>
      </c>
      <c r="Q30" s="8" t="inlineStr">
        <is>
          <t>भयंकर तूफ़ान</t>
        </is>
      </c>
      <c r="R30" s="9" t="inlineStr">
        <is>
          <t>Badai hebat</t>
        </is>
      </c>
      <c r="S30" s="8" t="inlineStr">
        <is>
          <t>Forti tempeste</t>
        </is>
      </c>
      <c r="T30" s="3" t="inlineStr">
        <is>
          <t>激しい嵐</t>
        </is>
      </c>
      <c r="U30" s="3" t="inlineStr">
        <is>
          <t>심한 폭풍</t>
        </is>
      </c>
      <c r="V30" s="3" t="inlineStr">
        <is>
          <t>Nga tupuhi kino</t>
        </is>
      </c>
      <c r="W30" s="3" t="inlineStr">
        <is>
          <t>चर्को आँधी</t>
        </is>
      </c>
      <c r="X30" s="44" t="inlineStr">
        <is>
          <t>بادهای شدید</t>
        </is>
      </c>
      <c r="Y30" s="3" t="inlineStr">
        <is>
          <t>Tempestades severas</t>
        </is>
      </c>
      <c r="Z30" s="3" t="inlineStr">
        <is>
          <t>Tempestades severas</t>
        </is>
      </c>
      <c r="AA30" s="3" t="inlineStr">
        <is>
          <t>Tormentas severas</t>
        </is>
      </c>
      <c r="AB30" s="3" t="inlineStr">
        <is>
          <t>fuertes tormentas</t>
        </is>
      </c>
      <c r="AC30" s="3" t="inlineStr">
        <is>
          <t>கடுமையான புயல்கள்</t>
        </is>
      </c>
      <c r="AD30" s="3" t="inlineStr">
        <is>
          <t>พายุ​รุนแรง</t>
        </is>
      </c>
      <c r="AE30" s="3" t="inlineStr">
        <is>
          <t>Şiddetli fırtınalar</t>
        </is>
      </c>
      <c r="AF30" s="3" t="inlineStr">
        <is>
          <t>Сильні шторми</t>
        </is>
      </c>
      <c r="AG30" s="3" t="inlineStr">
        <is>
          <t xml:space="preserve">Bão lớn </t>
        </is>
      </c>
    </row>
    <row r="31">
      <c r="A31" s="15" t="inlineStr">
        <is>
          <t>context</t>
        </is>
      </c>
      <c r="B31" s="15" t="inlineStr">
        <is>
          <t>Floods</t>
        </is>
      </c>
      <c r="C31" s="9" t="inlineStr">
        <is>
          <t>floods</t>
        </is>
      </c>
      <c r="D31" s="9" t="inlineStr">
        <is>
          <t>الفيضانات</t>
        </is>
      </c>
      <c r="E31" s="9" t="inlineStr">
        <is>
          <t>Inundacions</t>
        </is>
      </c>
      <c r="F31" s="9" t="inlineStr">
        <is>
          <t>洪水</t>
        </is>
      </c>
      <c r="G31" s="9" t="inlineStr">
        <is>
          <t>洪水</t>
        </is>
      </c>
      <c r="H31" s="24" t="inlineStr">
        <is>
          <t>Poplave</t>
        </is>
      </c>
      <c r="I31" s="8" t="inlineStr">
        <is>
          <t>Povodně</t>
        </is>
      </c>
      <c r="J31" s="16" t="inlineStr">
        <is>
          <t>Oversvømmelser</t>
        </is>
      </c>
      <c r="K31" s="24" t="inlineStr">
        <is>
          <t>Overstromingen</t>
        </is>
      </c>
      <c r="L31" s="9" t="inlineStr">
        <is>
          <t>tulvat</t>
        </is>
      </c>
      <c r="M31" s="9" t="inlineStr">
        <is>
          <t>Inondations</t>
        </is>
      </c>
      <c r="N31" s="9" t="inlineStr">
        <is>
          <t>Überschwemmungen</t>
        </is>
      </c>
      <c r="O31" s="9" t="inlineStr">
        <is>
          <t>Πλημμύρες</t>
        </is>
      </c>
      <c r="P31" s="9" t="inlineStr">
        <is>
          <t>Ambaliyar ruwa</t>
        </is>
      </c>
      <c r="Q31" s="8" t="inlineStr">
        <is>
          <t>पानी की बाढ़</t>
        </is>
      </c>
      <c r="R31" s="9" t="inlineStr">
        <is>
          <t>Banjir</t>
        </is>
      </c>
      <c r="S31" s="8" t="inlineStr">
        <is>
          <t>Inondazioni</t>
        </is>
      </c>
      <c r="T31" s="3" t="inlineStr">
        <is>
          <t>洪水</t>
        </is>
      </c>
      <c r="U31" s="3" t="inlineStr">
        <is>
          <t>홍수</t>
        </is>
      </c>
      <c r="V31" s="3" t="inlineStr">
        <is>
          <t>Waipuke</t>
        </is>
      </c>
      <c r="W31" s="3" t="inlineStr">
        <is>
          <t>बाढी</t>
        </is>
      </c>
      <c r="X31" s="44" t="inlineStr">
        <is>
          <t>سیل</t>
        </is>
      </c>
      <c r="Y31" s="3" t="inlineStr">
        <is>
          <t>Inundações</t>
        </is>
      </c>
      <c r="Z31" s="3" t="inlineStr">
        <is>
          <t>Inundações</t>
        </is>
      </c>
      <c r="AA31" s="3" t="inlineStr">
        <is>
          <t>Inundaciones</t>
        </is>
      </c>
      <c r="AB31" s="3" t="inlineStr">
        <is>
          <t>inundaciones</t>
        </is>
      </c>
      <c r="AC31" s="3" t="inlineStr">
        <is>
          <t>வெள்ளம்</t>
        </is>
      </c>
      <c r="AD31" s="3" t="inlineStr">
        <is>
          <t>น้ำ​ท่วม</t>
        </is>
      </c>
      <c r="AE31" s="3" t="inlineStr">
        <is>
          <t>Seller</t>
        </is>
      </c>
      <c r="AF31" s="3" t="inlineStr">
        <is>
          <t>повені</t>
        </is>
      </c>
      <c r="AG31" s="3" t="inlineStr">
        <is>
          <t>Lũ lụt</t>
        </is>
      </c>
    </row>
    <row r="32">
      <c r="A32" s="15" t="inlineStr">
        <is>
          <t>context</t>
        </is>
      </c>
      <c r="B32" s="15" t="inlineStr">
        <is>
          <t>Bushfires/wildfires</t>
        </is>
      </c>
      <c r="C32" s="9" t="inlineStr">
        <is>
          <t>bushfires/wildfires</t>
        </is>
      </c>
      <c r="D32" s="9" t="inlineStr">
        <is>
          <t>حرائق الغابات/حرائق الغابات</t>
        </is>
      </c>
      <c r="E32" s="9" t="inlineStr">
        <is>
          <t>Incendis forestals</t>
        </is>
      </c>
      <c r="F32" s="9" t="inlineStr">
        <is>
          <t>丛林大火/野火</t>
        </is>
      </c>
      <c r="G32" s="9" t="inlineStr">
        <is>
          <t>叢林大火/野火</t>
        </is>
      </c>
      <c r="H32" s="24" t="inlineStr">
        <is>
          <t>Šumski požari/šumski požari</t>
        </is>
      </c>
      <c r="I32" s="8" t="inlineStr">
        <is>
          <t>Požáry křoví/divoké požáry</t>
        </is>
      </c>
      <c r="J32" s="16" t="inlineStr">
        <is>
          <t>Skovbrande/naturbrande</t>
        </is>
      </c>
      <c r="K32" s="24" t="inlineStr">
        <is>
          <t>Bosbranden/bosbranden</t>
        </is>
      </c>
      <c r="L32" s="9" t="inlineStr">
        <is>
          <t>Maastopalot/metsäpalot</t>
        </is>
      </c>
      <c r="M32" s="9" t="inlineStr">
        <is>
          <t>Feux de brousse/feux de forêt</t>
        </is>
      </c>
      <c r="N32" s="9" t="inlineStr">
        <is>
          <t>Buschfeuer/Waldbrände</t>
        </is>
      </c>
      <c r="O32" s="9" t="inlineStr">
        <is>
          <t>Δασικές πυρκαγιές/πυρκαγιές</t>
        </is>
      </c>
      <c r="P32" s="9" t="inlineStr">
        <is>
          <t>Gobarar daji / gobarar daji</t>
        </is>
      </c>
      <c r="Q32" s="8" t="inlineStr">
        <is>
          <t>झाड़ियों की आग/जंगल की आग</t>
        </is>
      </c>
      <c r="R32" s="9" t="inlineStr">
        <is>
          <t>Kebakaran hutan/kebakaran hutan</t>
        </is>
      </c>
      <c r="S32" s="8" t="inlineStr">
        <is>
          <t>Incendi boschivi</t>
        </is>
      </c>
      <c r="T32" s="3" t="inlineStr">
        <is>
          <t>森林火災/山火事</t>
        </is>
      </c>
      <c r="U32" s="3" t="inlineStr">
        <is>
          <t>산불</t>
        </is>
      </c>
      <c r="V32" s="3" t="inlineStr">
        <is>
          <t>Te ahi ngahere/nga ahi mohoao</t>
        </is>
      </c>
      <c r="W32" s="3" t="inlineStr">
        <is>
          <t>बुशफायर/जङ्गलको आगो</t>
        </is>
      </c>
      <c r="X32" s="44" t="inlineStr">
        <is>
          <t>آتش‌سوزی</t>
        </is>
      </c>
      <c r="Y32" s="3" t="inlineStr">
        <is>
          <t>Incêndios florestais</t>
        </is>
      </c>
      <c r="Z32" s="3" t="inlineStr">
        <is>
          <t>Incêndios florestais/incêndios florestais</t>
        </is>
      </c>
      <c r="AA32" s="3" t="inlineStr">
        <is>
          <t>Incendios forestales/incendios forestales</t>
        </is>
      </c>
      <c r="AB32" s="3" t="inlineStr">
        <is>
          <t>incendios forestales</t>
        </is>
      </c>
      <c r="AC32" s="3" t="inlineStr">
        <is>
          <t>காட்டுத்தீ / காட்டுத்தீ</t>
        </is>
      </c>
      <c r="AD32" s="3" t="inlineStr">
        <is>
          <t>ไฟ​ป่า/ไฟ​ป่า</t>
        </is>
      </c>
      <c r="AE32" s="3" t="inlineStr">
        <is>
          <t>Orman/çalı yangınları</t>
        </is>
      </c>
      <c r="AF32" s="3" t="inlineStr">
        <is>
          <t>Лісові пожежі/лісові пожежі</t>
        </is>
      </c>
      <c r="AG32" s="3" t="inlineStr">
        <is>
          <t>Cháy rừng/cháy rừng tự nhiên</t>
        </is>
      </c>
    </row>
    <row r="33">
      <c r="A33" s="15" t="inlineStr">
        <is>
          <t>context</t>
        </is>
      </c>
      <c r="B33" s="15" t="inlineStr">
        <is>
          <t>Heatwaves</t>
        </is>
      </c>
      <c r="C33" s="9" t="inlineStr">
        <is>
          <t>heatwaves</t>
        </is>
      </c>
      <c r="D33" s="9" t="inlineStr">
        <is>
          <t>موجات الحر</t>
        </is>
      </c>
      <c r="E33" s="9" t="inlineStr">
        <is>
          <t>Onades de calor</t>
        </is>
      </c>
      <c r="F33" s="9" t="inlineStr">
        <is>
          <t>热浪</t>
        </is>
      </c>
      <c r="G33" s="9" t="inlineStr">
        <is>
          <t>熱浪</t>
        </is>
      </c>
      <c r="H33" s="24" t="inlineStr">
        <is>
          <t>Toplinski valovi</t>
        </is>
      </c>
      <c r="I33" s="8" t="inlineStr">
        <is>
          <t>Vlny veder</t>
        </is>
      </c>
      <c r="J33" s="16" t="inlineStr">
        <is>
          <t>Hedebølger</t>
        </is>
      </c>
      <c r="K33" s="24" t="inlineStr">
        <is>
          <t>Hittegolven</t>
        </is>
      </c>
      <c r="L33" s="9" t="inlineStr">
        <is>
          <t>helleaallot</t>
        </is>
      </c>
      <c r="M33" s="9" t="inlineStr">
        <is>
          <t>Vagues de chaleur</t>
        </is>
      </c>
      <c r="N33" s="9" t="inlineStr">
        <is>
          <t>Hitzewellen</t>
        </is>
      </c>
      <c r="O33" s="9" t="inlineStr">
        <is>
          <t>Κύματα καύσωνα</t>
        </is>
      </c>
      <c r="P33" s="9" t="inlineStr">
        <is>
          <t>Hawan zafi</t>
        </is>
      </c>
      <c r="Q33" s="8" t="inlineStr">
        <is>
          <t>गर्म तरंगें</t>
        </is>
      </c>
      <c r="R33" s="9" t="inlineStr">
        <is>
          <t>Gelombang panas</t>
        </is>
      </c>
      <c r="S33" s="8" t="inlineStr">
        <is>
          <t>Ondate di caldo</t>
        </is>
      </c>
      <c r="T33" s="3" t="inlineStr">
        <is>
          <t>熱波</t>
        </is>
      </c>
      <c r="U33" s="3" t="inlineStr">
        <is>
          <t>폭염</t>
        </is>
      </c>
      <c r="V33" s="3" t="inlineStr">
        <is>
          <t>Ngaru wera</t>
        </is>
      </c>
      <c r="W33" s="3" t="inlineStr">
        <is>
          <t>गर्मी लहरहरू</t>
        </is>
      </c>
      <c r="X33" s="44" t="inlineStr">
        <is>
          <t>امواج گرما</t>
        </is>
      </c>
      <c r="Y33" s="3" t="inlineStr">
        <is>
          <t>Ondas de calor</t>
        </is>
      </c>
      <c r="Z33" s="3" t="inlineStr">
        <is>
          <t>Ondas de calor</t>
        </is>
      </c>
      <c r="AA33" s="3" t="inlineStr">
        <is>
          <t>Olas de calor</t>
        </is>
      </c>
      <c r="AB33" s="3" t="inlineStr">
        <is>
          <t>olas de calor</t>
        </is>
      </c>
      <c r="AC33" s="3" t="inlineStr">
        <is>
          <t>வெப்ப அலைகள்</t>
        </is>
      </c>
      <c r="AD33" s="3" t="inlineStr">
        <is>
          <t>คลื่น​ความ​ร้อน</t>
        </is>
      </c>
      <c r="AE33" s="3" t="inlineStr">
        <is>
          <t>Sıcak hava dalgaları</t>
        </is>
      </c>
      <c r="AF33" s="3" t="inlineStr">
        <is>
          <t>Теплові хвилі</t>
        </is>
      </c>
      <c r="AG33" s="3" t="inlineStr">
        <is>
          <t xml:space="preserve">Sóng nhiệt </t>
        </is>
      </c>
    </row>
    <row r="34">
      <c r="A34" s="15" t="inlineStr">
        <is>
          <t>context</t>
        </is>
      </c>
      <c r="B34" s="15" t="inlineStr">
        <is>
          <t>Extreme cold</t>
        </is>
      </c>
      <c r="C34" s="9" t="inlineStr">
        <is>
          <t>extreme cold</t>
        </is>
      </c>
      <c r="D34" s="9" t="inlineStr">
        <is>
          <t>البرد الشديد</t>
        </is>
      </c>
      <c r="E34" s="9" t="inlineStr">
        <is>
          <t>Fred extrem</t>
        </is>
      </c>
      <c r="F34" s="9" t="inlineStr">
        <is>
          <t>极冷</t>
        </is>
      </c>
      <c r="G34" s="9" t="inlineStr">
        <is>
          <t>極冷</t>
        </is>
      </c>
      <c r="H34" s="24" t="inlineStr">
        <is>
          <t>Ekstremna hladnoća</t>
        </is>
      </c>
      <c r="I34" s="8" t="inlineStr">
        <is>
          <t>Extrémní zima</t>
        </is>
      </c>
      <c r="J34" s="16" t="inlineStr">
        <is>
          <t>Ekstrem kulde</t>
        </is>
      </c>
      <c r="K34" s="24" t="inlineStr">
        <is>
          <t>Extreem koud</t>
        </is>
      </c>
      <c r="L34" s="9" t="inlineStr">
        <is>
          <t>Kovat pakkaset</t>
        </is>
      </c>
      <c r="M34" s="9" t="inlineStr">
        <is>
          <t>Froid extrême</t>
        </is>
      </c>
      <c r="N34" s="9" t="inlineStr">
        <is>
          <t>Extreme Kälte</t>
        </is>
      </c>
      <c r="O34" s="9" t="inlineStr">
        <is>
          <t>Ακραίο κρύο</t>
        </is>
      </c>
      <c r="P34" s="9" t="inlineStr">
        <is>
          <t>Tsananin sanyi</t>
        </is>
      </c>
      <c r="Q34" s="8" t="inlineStr">
        <is>
          <t>चरम ठंड़</t>
        </is>
      </c>
      <c r="R34" s="9" t="inlineStr">
        <is>
          <t>Sangat dingin</t>
        </is>
      </c>
      <c r="S34" s="8" t="inlineStr">
        <is>
          <t>Freddo estremo</t>
        </is>
      </c>
      <c r="T34" s="3" t="inlineStr">
        <is>
          <t>極寒</t>
        </is>
      </c>
      <c r="U34" s="3" t="inlineStr">
        <is>
          <t>혹한</t>
        </is>
      </c>
      <c r="V34" s="3" t="inlineStr">
        <is>
          <t>Tino makariri</t>
        </is>
      </c>
      <c r="W34" s="3" t="inlineStr">
        <is>
          <t>अत्यधिक चिसो</t>
        </is>
      </c>
      <c r="X34" s="44" t="inlineStr">
        <is>
          <t>سرمای شدید</t>
        </is>
      </c>
      <c r="Y34" s="3" t="inlineStr">
        <is>
          <t>Frio extremo</t>
        </is>
      </c>
      <c r="Z34" s="3" t="inlineStr">
        <is>
          <t>Frio extremo</t>
        </is>
      </c>
      <c r="AA34" s="3" t="inlineStr">
        <is>
          <t>Frio extremo</t>
        </is>
      </c>
      <c r="AB34" s="3" t="inlineStr">
        <is>
          <t>frío extremo</t>
        </is>
      </c>
      <c r="AC34" s="3" t="inlineStr">
        <is>
          <t>கடும் குளிர்</t>
        </is>
      </c>
      <c r="AD34" s="3" t="inlineStr">
        <is>
          <t>หนาว​มาก</t>
        </is>
      </c>
      <c r="AE34" s="3" t="inlineStr">
        <is>
          <t>Aşırı soğuklar</t>
        </is>
      </c>
      <c r="AF34" s="3" t="inlineStr">
        <is>
          <t>Сильний холод</t>
        </is>
      </c>
      <c r="AG34" s="3" t="inlineStr">
        <is>
          <t xml:space="preserve"> Rét đậm rét hại </t>
        </is>
      </c>
    </row>
    <row r="35">
      <c r="A35" s="15" t="inlineStr">
        <is>
          <t>context</t>
        </is>
      </c>
      <c r="B35" s="15" t="inlineStr">
        <is>
          <t>Typhoons</t>
        </is>
      </c>
      <c r="C35" s="9" t="inlineStr">
        <is>
          <t>typhoons</t>
        </is>
      </c>
      <c r="D35" s="9" t="inlineStr">
        <is>
          <t>الأعاصير</t>
        </is>
      </c>
      <c r="E35" s="9" t="inlineStr">
        <is>
          <t>Tifons</t>
        </is>
      </c>
      <c r="F35" s="9" t="inlineStr">
        <is>
          <t>台风</t>
        </is>
      </c>
      <c r="G35" s="9" t="inlineStr">
        <is>
          <t>颱風</t>
        </is>
      </c>
      <c r="H35" s="24" t="inlineStr">
        <is>
          <t>Tajfuni</t>
        </is>
      </c>
      <c r="I35" s="8" t="inlineStr">
        <is>
          <t>tajfuny</t>
        </is>
      </c>
      <c r="J35" s="16" t="inlineStr">
        <is>
          <t>Tyfoner</t>
        </is>
      </c>
      <c r="K35" s="24" t="inlineStr">
        <is>
          <t>Tyfoons</t>
        </is>
      </c>
      <c r="L35" s="9" t="inlineStr">
        <is>
          <t>taifuunit</t>
        </is>
      </c>
      <c r="M35" s="9" t="inlineStr">
        <is>
          <t>Typhons</t>
        </is>
      </c>
      <c r="N35" s="9" t="inlineStr">
        <is>
          <t>Taifune</t>
        </is>
      </c>
      <c r="O35" s="9" t="inlineStr">
        <is>
          <t>Τυφώνες</t>
        </is>
      </c>
      <c r="P35" s="9" t="inlineStr">
        <is>
          <t>Guguwa</t>
        </is>
      </c>
      <c r="Q35" s="8" t="inlineStr">
        <is>
          <t>टाइफून</t>
        </is>
      </c>
      <c r="R35" s="9" t="inlineStr">
        <is>
          <t>Topan</t>
        </is>
      </c>
      <c r="S35" s="8" t="inlineStr">
        <is>
          <t>Tifoni</t>
        </is>
      </c>
      <c r="T35" s="3" t="inlineStr">
        <is>
          <t>台風</t>
        </is>
      </c>
      <c r="U35" s="3" t="inlineStr">
        <is>
          <t>태풍</t>
        </is>
      </c>
      <c r="V35" s="3" t="inlineStr">
        <is>
          <t>Nga awhiowhio</t>
        </is>
      </c>
      <c r="W35" s="3" t="inlineStr">
        <is>
          <t>टाइफुन्स</t>
        </is>
      </c>
      <c r="X35" s="44" t="inlineStr">
        <is>
          <t>گردباد</t>
        </is>
      </c>
      <c r="Y35" s="3" t="inlineStr">
        <is>
          <t>Tufões</t>
        </is>
      </c>
      <c r="Z35" s="3" t="inlineStr">
        <is>
          <t>Tufões</t>
        </is>
      </c>
      <c r="AA35" s="3" t="inlineStr">
        <is>
          <t>Tifones</t>
        </is>
      </c>
      <c r="AB35" s="3" t="inlineStr">
        <is>
          <t>tifones</t>
        </is>
      </c>
      <c r="AC35" s="3" t="inlineStr">
        <is>
          <t>புயல்கள்</t>
        </is>
      </c>
      <c r="AD35" s="3" t="inlineStr">
        <is>
          <t>พายุ​ไต้ฝุ่น</t>
        </is>
      </c>
      <c r="AE35" s="3" t="inlineStr">
        <is>
          <t>Tayfunlar</t>
        </is>
      </c>
      <c r="AF35" s="3" t="inlineStr">
        <is>
          <t>Тайфуни</t>
        </is>
      </c>
      <c r="AG35" s="3" t="inlineStr">
        <is>
          <t>Bão nhiệt đới lớn (Tây bắc Thái Bình Dương)</t>
        </is>
      </c>
    </row>
    <row r="36" ht="15" customHeight="1">
      <c r="A36" s="15" t="inlineStr">
        <is>
          <t>context</t>
        </is>
      </c>
      <c r="B36" s="15" t="inlineStr">
        <is>
          <t>Hurricanes</t>
        </is>
      </c>
      <c r="C36" s="9" t="inlineStr">
        <is>
          <t>hurricanes</t>
        </is>
      </c>
      <c r="D36" s="9" t="inlineStr">
        <is>
          <t>الأعاصير</t>
        </is>
      </c>
      <c r="E36" s="9" t="inlineStr">
        <is>
          <t>Huracans</t>
        </is>
      </c>
      <c r="F36" s="9" t="inlineStr">
        <is>
          <t>飓风</t>
        </is>
      </c>
      <c r="G36" s="9" t="inlineStr">
        <is>
          <t>颶風</t>
        </is>
      </c>
      <c r="H36" s="24" t="inlineStr">
        <is>
          <t>uragani</t>
        </is>
      </c>
      <c r="I36" s="8" t="inlineStr">
        <is>
          <t>Hurikány</t>
        </is>
      </c>
      <c r="J36" s="16" t="inlineStr">
        <is>
          <t>Orkaner</t>
        </is>
      </c>
      <c r="K36" s="24" t="inlineStr">
        <is>
          <t>Orkanen</t>
        </is>
      </c>
      <c r="L36" s="9" t="inlineStr">
        <is>
          <t>hurrikaanit</t>
        </is>
      </c>
      <c r="M36" s="9" t="inlineStr">
        <is>
          <t>Ouragans</t>
        </is>
      </c>
      <c r="N36" s="9" t="inlineStr">
        <is>
          <t>Orkane</t>
        </is>
      </c>
      <c r="O36" s="9" t="inlineStr">
        <is>
          <t>Τυφώνες</t>
        </is>
      </c>
      <c r="P36" s="9" t="inlineStr">
        <is>
          <t>Guguwa</t>
        </is>
      </c>
      <c r="Q36" s="8" t="inlineStr">
        <is>
          <t>तूफान</t>
        </is>
      </c>
      <c r="R36" s="9" t="inlineStr">
        <is>
          <t>Badai</t>
        </is>
      </c>
      <c r="S36" s="8" t="inlineStr">
        <is>
          <t>Uragani</t>
        </is>
      </c>
      <c r="T36" s="3" t="inlineStr">
        <is>
          <t>ハリケーン</t>
        </is>
      </c>
      <c r="U36" s="3" t="inlineStr">
        <is>
          <t>허리케인</t>
        </is>
      </c>
      <c r="V36" s="3" t="inlineStr">
        <is>
          <t>Huripari</t>
        </is>
      </c>
      <c r="W36" s="3" t="inlineStr">
        <is>
          <t>आँधी</t>
        </is>
      </c>
      <c r="X36" s="44" t="inlineStr">
        <is>
          <t>طوفان شدید</t>
        </is>
      </c>
      <c r="Y36" s="3" t="inlineStr">
        <is>
          <t>Furacões</t>
        </is>
      </c>
      <c r="Z36" s="3" t="inlineStr">
        <is>
          <t>Furacões</t>
        </is>
      </c>
      <c r="AA36" s="3" t="inlineStr">
        <is>
          <t>Huracanes</t>
        </is>
      </c>
      <c r="AB36" s="3" t="inlineStr">
        <is>
          <t>huracanes</t>
        </is>
      </c>
      <c r="AC36" s="3" t="inlineStr">
        <is>
          <t>சூறாவளிகள்</t>
        </is>
      </c>
      <c r="AD36" s="3" t="inlineStr">
        <is>
          <t>พายุ​เฮอริเคน</t>
        </is>
      </c>
      <c r="AE36" s="3" t="inlineStr">
        <is>
          <t>Kasırgalar</t>
        </is>
      </c>
      <c r="AF36" s="3" t="inlineStr">
        <is>
          <t>Урагани</t>
        </is>
      </c>
      <c r="AG36" s="3" t="inlineStr">
        <is>
          <t>Bão nhiệt đới lớn (Đại Tây Dương &amp; đông bắc Thái Bình Dương)</t>
        </is>
      </c>
    </row>
    <row r="37" ht="15" customHeight="1">
      <c r="A37" s="15" t="inlineStr">
        <is>
          <t>context</t>
        </is>
      </c>
      <c r="B37" s="15" t="inlineStr">
        <is>
          <t>Cyclones</t>
        </is>
      </c>
      <c r="C37" s="9" t="inlineStr">
        <is>
          <t>cyclones</t>
        </is>
      </c>
      <c r="D37" s="9" t="inlineStr">
        <is>
          <t>الأعاصير</t>
        </is>
      </c>
      <c r="E37" s="9" t="inlineStr">
        <is>
          <t>Ciclons</t>
        </is>
      </c>
      <c r="F37" s="9" t="inlineStr">
        <is>
          <t>旋风</t>
        </is>
      </c>
      <c r="G37" s="9" t="inlineStr">
        <is>
          <t>旋風</t>
        </is>
      </c>
      <c r="H37" s="24" t="inlineStr">
        <is>
          <t>Cikloni</t>
        </is>
      </c>
      <c r="I37" s="8" t="inlineStr">
        <is>
          <t>Cyklony</t>
        </is>
      </c>
      <c r="J37" s="16" t="inlineStr">
        <is>
          <t>Cykloner</t>
        </is>
      </c>
      <c r="K37" s="24" t="inlineStr">
        <is>
          <t>Cyclonen</t>
        </is>
      </c>
      <c r="L37" s="9" t="inlineStr">
        <is>
          <t>trooppiset syklonit</t>
        </is>
      </c>
      <c r="M37" s="9" t="inlineStr">
        <is>
          <t>Cyclones</t>
        </is>
      </c>
      <c r="N37" s="9" t="inlineStr">
        <is>
          <t>Wirbelsturm</t>
        </is>
      </c>
      <c r="O37" s="9" t="inlineStr">
        <is>
          <t>Κυκλώνες</t>
        </is>
      </c>
      <c r="P37" s="9" t="inlineStr">
        <is>
          <t>Cyclones</t>
        </is>
      </c>
      <c r="Q37" s="8" t="inlineStr">
        <is>
          <t>चक्रवात</t>
        </is>
      </c>
      <c r="R37" s="9" t="inlineStr">
        <is>
          <t>Topan</t>
        </is>
      </c>
      <c r="S37" s="8" t="inlineStr">
        <is>
          <t>Cicloni</t>
        </is>
      </c>
      <c r="T37" s="3" t="inlineStr">
        <is>
          <t>サイクロン</t>
        </is>
      </c>
      <c r="U37" s="3" t="inlineStr">
        <is>
          <t>사이클론</t>
        </is>
      </c>
      <c r="V37" s="3" t="inlineStr">
        <is>
          <t>Huripari</t>
        </is>
      </c>
      <c r="W37" s="3" t="inlineStr">
        <is>
          <t>चक्रवात</t>
        </is>
      </c>
      <c r="X37" s="44" t="inlineStr">
        <is>
          <t>تندباد</t>
        </is>
      </c>
      <c r="Y37" s="3" t="inlineStr">
        <is>
          <t>Ciclones</t>
        </is>
      </c>
      <c r="Z37" s="3" t="inlineStr">
        <is>
          <t>Ciclones</t>
        </is>
      </c>
      <c r="AA37" s="3" t="inlineStr">
        <is>
          <t>Ciclones</t>
        </is>
      </c>
      <c r="AB37" s="3" t="inlineStr">
        <is>
          <t>ciclones</t>
        </is>
      </c>
      <c r="AC37" s="3" t="inlineStr">
        <is>
          <t>சூறாவளிகள்</t>
        </is>
      </c>
      <c r="AD37" s="3" t="inlineStr">
        <is>
          <t>พายุ​ไซโคลน</t>
        </is>
      </c>
      <c r="AE37" s="3" t="inlineStr">
        <is>
          <t>Siklonlar</t>
        </is>
      </c>
      <c r="AF37" s="3" t="inlineStr">
        <is>
          <t>циклони</t>
        </is>
      </c>
      <c r="AG37" s="3" t="inlineStr">
        <is>
          <t>Bão nhiệt đới lớn (Ấn Độ Dương &amp; nam Thái Bình Dương)</t>
        </is>
      </c>
    </row>
    <row r="38">
      <c r="A38" s="15" t="inlineStr">
        <is>
          <t>context</t>
        </is>
      </c>
      <c r="B38" s="15" t="inlineStr">
        <is>
          <t>Earthquakes</t>
        </is>
      </c>
      <c r="C38" s="9" t="inlineStr">
        <is>
          <t>earthquakes</t>
        </is>
      </c>
      <c r="D38" s="9" t="inlineStr">
        <is>
          <t>الزلازل</t>
        </is>
      </c>
      <c r="E38" s="9" t="inlineStr">
        <is>
          <t>Terratrèmols</t>
        </is>
      </c>
      <c r="F38" s="9" t="inlineStr">
        <is>
          <t>地震</t>
        </is>
      </c>
      <c r="G38" s="9" t="inlineStr">
        <is>
          <t>地震</t>
        </is>
      </c>
      <c r="H38" s="24" t="inlineStr">
        <is>
          <t>Potresi</t>
        </is>
      </c>
      <c r="I38" s="8" t="inlineStr">
        <is>
          <t>Zemětřesení</t>
        </is>
      </c>
      <c r="J38" s="16" t="inlineStr">
        <is>
          <t>Jordskælv</t>
        </is>
      </c>
      <c r="K38" s="24" t="inlineStr">
        <is>
          <t>Aardbevingen</t>
        </is>
      </c>
      <c r="L38" s="9" t="inlineStr">
        <is>
          <t>maanjäristykset</t>
        </is>
      </c>
      <c r="M38" s="9" t="inlineStr">
        <is>
          <t>Tremblements de terre</t>
        </is>
      </c>
      <c r="N38" s="9" t="inlineStr">
        <is>
          <t>Erdbeben</t>
        </is>
      </c>
      <c r="O38" s="9" t="inlineStr">
        <is>
          <t>Σεισμοί</t>
        </is>
      </c>
      <c r="P38" s="9" t="inlineStr">
        <is>
          <t>Girgizar kasa</t>
        </is>
      </c>
      <c r="Q38" s="8" t="inlineStr">
        <is>
          <t>भूकंप</t>
        </is>
      </c>
      <c r="R38" s="9" t="inlineStr">
        <is>
          <t>Gempa bumi</t>
        </is>
      </c>
      <c r="S38" s="8" t="inlineStr">
        <is>
          <t>Terremoti</t>
        </is>
      </c>
      <c r="T38" s="3" t="inlineStr">
        <is>
          <t>地震</t>
        </is>
      </c>
      <c r="U38" s="3" t="inlineStr">
        <is>
          <t>지진</t>
        </is>
      </c>
      <c r="V38" s="3" t="inlineStr">
        <is>
          <t>Nga rū whenua</t>
        </is>
      </c>
      <c r="W38" s="3" t="inlineStr">
        <is>
          <t>भूकम्प</t>
        </is>
      </c>
      <c r="X38" s="44" t="inlineStr">
        <is>
          <t>زمین لرزه‌ها</t>
        </is>
      </c>
      <c r="Y38" s="3" t="inlineStr">
        <is>
          <t>Terremotos</t>
        </is>
      </c>
      <c r="Z38" s="3" t="inlineStr">
        <is>
          <t>Terremotos</t>
        </is>
      </c>
      <c r="AA38" s="3" t="inlineStr">
        <is>
          <t>Terremotos</t>
        </is>
      </c>
      <c r="AB38" s="3" t="inlineStr">
        <is>
          <t>terremotos</t>
        </is>
      </c>
      <c r="AC38" s="3" t="inlineStr">
        <is>
          <t>பூகம்பங்கள்</t>
        </is>
      </c>
      <c r="AD38" s="3" t="inlineStr">
        <is>
          <t>แผ่น​ดิน​ไหว</t>
        </is>
      </c>
      <c r="AE38" s="3" t="inlineStr">
        <is>
          <t>Depremler</t>
        </is>
      </c>
      <c r="AF38" s="3" t="inlineStr">
        <is>
          <t>землетруси</t>
        </is>
      </c>
      <c r="AG38" s="3" t="inlineStr">
        <is>
          <t>Động đất</t>
        </is>
      </c>
    </row>
    <row r="39" ht="120" customHeight="1">
      <c r="A39" s="15" t="inlineStr">
        <is>
          <t>context</t>
        </is>
      </c>
      <c r="B39" s="15" t="inlineStr">
        <is>
          <t>study_region_context_caption</t>
        </is>
      </c>
      <c r="C39" s="9" t="inlineStr">
        <is>
          <t>The study region used to calculate spatial indicators for the population of {city_name} presented in this report has been highlighted in the map below using parallel line shading.</t>
        </is>
      </c>
      <c r="D39" s="9" t="inlineStr">
        <is>
          <t>تم تسليط الضوء على منطقة الدراسة المستخدمة لحساب المؤشرات المكانية لسكان {city_name} الواردة في هذا التقرير في الخريطة أدناه باستخدام تظليل الخط المتوازي.</t>
        </is>
      </c>
      <c r="E39" s="9" t="inlineStr">
        <is>
          <t>La regió d'estudi utilitzada per calcular els indicadors espacials de la població de {city_name} presentada en aquest informe s'ha destacat al mapa següent mitjançant l'ombrejat de línies paral·leles.</t>
        </is>
      </c>
      <c r="F39" s="9" t="inlineStr">
        <is>
          <t>本报告中用于计算 {city_name} 人口空间指标的研究区域已在下图中使用平行线阴影突出显示。</t>
        </is>
      </c>
      <c r="G39" s="9" t="inlineStr">
        <is>
          <t>本報告中用於計算 {city_name} 人口空間指標的研究區域已在下圖中使用平行線陰影突出顯示。</t>
        </is>
      </c>
      <c r="H39" s="9" t="inlineStr">
        <is>
          <t>Regija istraživanja korištena za izračun prostornih pokazatelja za populaciju grada {city_name} predstavljena u ovom izvješću istaknuta je na donjoj karti sjenčanjem paralelnih linija.</t>
        </is>
      </c>
      <c r="I39" s="8" t="inlineStr">
        <is>
          <t>Oblast studie použitá k výpočtu prostorových ukazatelů pro populaci {city_name} uvedená v této zprávě byla zvýrazněna na mapě níže pomocí stínování paralelních čar.</t>
        </is>
      </c>
      <c r="J39" s="16" t="inlineStr">
        <is>
          <t>Undersøgelsesregionen, der bruges til at beregne rumlige indikatorer for befolkningen i {city_name}, der præsenteres i denne rapport, er blevet fremhævet på kortet nedenfor ved hjælp af parallel linjeskygge.</t>
        </is>
      </c>
      <c r="K39" s="9" t="inlineStr">
        <is>
          <t>De studieregio die wordt gebruikt om de ruimtelijke indicatoren te berekenen voor de bevolking van {city_name} die in dit rapport wordt gepresenteerd, is op de onderstaande kaart gemarkeerd met behulp van parallelle lijnarcering.</t>
        </is>
      </c>
      <c r="L39" s="9" t="inlineStr">
        <is>
          <t>Tässä raportissa väestön ja paikkatietopohjaisten indikaattoreiden laskemiseen käytetty tutkimusalue on esitetty oheisessa kartassa vinoviivalla.</t>
        </is>
      </c>
      <c r="M39" s="9" t="inlineStr">
        <is>
          <t>La région d'étude utilisée pour calculer les indicateurs spatiaux pour la population de {city_name} présentés dans ce rapport a été mise en évidence sur la carte ci-dessous à l'aide de lignes parallèles.</t>
        </is>
      </c>
      <c r="N39" s="9" t="inlineStr">
        <is>
          <t>Die Untersuchungsregion, die zur Berechnung räumlicher Indikatoren für die in diesem Bericht dargestellte Bevölkerung von {city_name} verwendet wurde, wurde in der Karte unten durch parallele Linienschattierung hervorgehoben.</t>
        </is>
      </c>
      <c r="O39" s="9" t="inlineStr">
        <is>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is>
      </c>
      <c r="P39" s="9" t="inlineStr">
        <is>
          <t>Yankin binciken da aka yi amfani da shi don ƙididdige alamun sararin samaniya ga yawan jama'a na {city_name} da aka gabatar a cikin wannan rahoto an haskaka shi a cikin taswirar da ke ƙasa ta amfani da shading layi ɗaya.</t>
        </is>
      </c>
      <c r="Q39" s="8" t="inlineStr">
        <is>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is>
      </c>
      <c r="R39" s="9" t="inlineStr">
        <is>
          <t>Wilayah studi yang digunakan untuk menghitung indikator spasial untuk populasi {city_name} yang disajikan dalam laporan ini telah ditandai pada peta di bawah ini dengan menggunakan arsir garis paralel.</t>
        </is>
      </c>
      <c r="S39" s="8" t="inlineStr">
        <is>
          <t>La regione di studio utilizzata per calcolare gli indicatori spaziali presentati in questo rapporto e relativi alla popolazione di {city_name} è stata evidenziata nella mappa sottostante da un'ombreggiatura a linee parallele.</t>
        </is>
      </c>
      <c r="T39" s="3" t="inlineStr">
        <is>
          <t>このレポートで示されている{city_name}の人口の空間指標を計算する調査地域は、以下の地図で斜線を使用して強調表示されています。</t>
        </is>
      </c>
      <c r="U39" s="3" t="inlineStr">
        <is>
          <t>{city_name} 인구의 공간 지표를 계산하기 위해 본 보고서에서 사용된 연구 지역은 아래 지도에서 평행선 음영으로 표시되었습니다.</t>
        </is>
      </c>
      <c r="V39" s="3" t="inlineStr">
        <is>
          <t>Ko te rohe ako i whakamahia hei tatau i nga tohu mokowā mo te taupori o {city_name} kua whakaatuhia i roto i tenei purongo kua tohuhia ki te mapi i raro nei ma te whakamarumaru raina whakarara.</t>
        </is>
      </c>
      <c r="W39" s="3" t="inlineStr">
        <is>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is>
      </c>
      <c r="X39" s="44" t="inlineStr">
        <is>
          <t>منطقه مورد مطالعه برای محاسبه شاخص‌های فضایی برای جمعیت {city_name} ارائه شده در این گزارش در نقشه زیر بصورت هاشور خورده، مشخص شده است.</t>
        </is>
      </c>
      <c r="Y39" s="3" t="inlineStr">
        <is>
          <t>A região de estudo utilizada para calcular os indicadores espaciais para a população de {city_name} apresentados neste relatório foi destacada no mapa abaixo usando sombreamento de linhas paralelas.</t>
        </is>
      </c>
      <c r="Z39" s="3" t="inlineStr">
        <is>
          <t>região de estudo utilizada para calcular os indicadores espaciais para a população de {city_name} apresentados neste relatório foi destacada no mapa abaixo usando sombreamento de linhas paralelas.</t>
        </is>
      </c>
      <c r="AA39" s="3" t="inlineStr">
        <is>
          <t>La región de estudio utilizada para calcular los indicadores espaciales para la población de {city_name} presentada en este informe, se muestra en el mapa a continuación mediante sombreado de líneas paralelas.</t>
        </is>
      </c>
      <c r="AB39" s="3" t="inlineStr">
        <is>
          <t>A continuación, la región de estudio utilizada para calcular los indicadores espaciales para la población de {city_name}, presentada en este informe, se resalta en el mapa mediante sombreado de líneas paralelas.</t>
        </is>
      </c>
      <c r="AC39" s="3" t="inlineStr">
        <is>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is>
      </c>
      <c r="AD39" s="3" t="inlineStr">
        <is>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is>
      </c>
      <c r="AE39" s="3" t="inlineStr">
        <is>
          <t>Bu raporda {city_name} nüfusu için mekansal göstergeleri hesaplamak için kullanılan çalışma bölgesi, aşağıdaki haritada taralı olarak gösterilmiştir.</t>
        </is>
      </c>
      <c r="AF39" s="3" t="inlineStr">
        <is>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is>
      </c>
      <c r="AG39" s="3" t="inlineStr">
        <is>
          <t>Khu vực nghiên cứu dùng để tính toán các chỉ số không gian cho dân số của {city_name} được trình bày trong báo cáo này đã được đánh dấu trong bản đồ bên dưới bằng mảng  đường kẻ song song.</t>
        </is>
      </c>
    </row>
    <row r="40">
      <c r="A40" s="15" t="inlineStr">
        <is>
          <t>context</t>
        </is>
      </c>
      <c r="B40" s="15" t="inlineStr">
        <is>
          <t>Study region</t>
        </is>
      </c>
      <c r="C40" s="9" t="inlineStr">
        <is>
          <t>Study region</t>
        </is>
      </c>
      <c r="D40" s="9" t="inlineStr">
        <is>
          <t>منطقة الدراسة</t>
        </is>
      </c>
      <c r="E40" s="9" t="inlineStr">
        <is>
          <t>Regió d'estudi</t>
        </is>
      </c>
      <c r="F40" s="9" t="inlineStr">
        <is>
          <t>研究区域</t>
        </is>
      </c>
      <c r="G40" s="9" t="inlineStr">
        <is>
          <t>研究區域</t>
        </is>
      </c>
      <c r="H40" s="9" t="inlineStr">
        <is>
          <t>Studijska regija</t>
        </is>
      </c>
      <c r="I40" s="8" t="inlineStr">
        <is>
          <t>Studijní region</t>
        </is>
      </c>
      <c r="J40" s="16" t="inlineStr">
        <is>
          <t>Studieregion</t>
        </is>
      </c>
      <c r="K40" s="9" t="inlineStr">
        <is>
          <t>Studie regio</t>
        </is>
      </c>
      <c r="L40" s="9" t="inlineStr">
        <is>
          <t>Tutkimusalue</t>
        </is>
      </c>
      <c r="M40" s="9" t="inlineStr">
        <is>
          <t>Région d'étude</t>
        </is>
      </c>
      <c r="N40" s="9" t="inlineStr">
        <is>
          <t>Studienregion</t>
        </is>
      </c>
      <c r="O40" s="9" t="inlineStr">
        <is>
          <t>Περιοχή μελέτης</t>
        </is>
      </c>
      <c r="P40" s="9" t="inlineStr">
        <is>
          <t>Yankin karatu</t>
        </is>
      </c>
      <c r="Q40" s="8" t="inlineStr">
        <is>
          <t>अध्ययन क्षेत्र</t>
        </is>
      </c>
      <c r="R40" s="9" t="inlineStr">
        <is>
          <t>Wilayah studi</t>
        </is>
      </c>
      <c r="S40" s="8" t="inlineStr">
        <is>
          <t>Regione di studio</t>
        </is>
      </c>
      <c r="T40" s="3" t="inlineStr">
        <is>
          <t>調査地域</t>
        </is>
      </c>
      <c r="U40" s="3" t="inlineStr">
        <is>
          <t>연구 지역</t>
        </is>
      </c>
      <c r="V40" s="3" t="inlineStr">
        <is>
          <t>Te rohe ako</t>
        </is>
      </c>
      <c r="W40" s="3" t="inlineStr">
        <is>
          <t>अध्ययन क्षेत्र</t>
        </is>
      </c>
      <c r="X40" s="44" t="inlineStr">
        <is>
          <t>منطقه مورد مطالعه</t>
        </is>
      </c>
      <c r="Y40" s="3" t="inlineStr">
        <is>
          <t>Região de estudo</t>
        </is>
      </c>
      <c r="Z40" s="3" t="inlineStr">
        <is>
          <t>Região de estudo</t>
        </is>
      </c>
      <c r="AA40" s="3" t="inlineStr">
        <is>
          <t>Región de estudio</t>
        </is>
      </c>
      <c r="AB40" s="3" t="inlineStr">
        <is>
          <t>Región de estudio</t>
        </is>
      </c>
      <c r="AC40" s="3" t="inlineStr">
        <is>
          <t>படிப்பு பகுதி</t>
        </is>
      </c>
      <c r="AD40" s="3" t="inlineStr">
        <is>
          <t>พื้นที่​ศึกษา</t>
        </is>
      </c>
      <c r="AE40" s="3" t="inlineStr">
        <is>
          <t>Çalışma bölgesi</t>
        </is>
      </c>
      <c r="AF40" s="3" t="inlineStr">
        <is>
          <t>Регіон дослідження</t>
        </is>
      </c>
      <c r="AG40" s="3" t="inlineStr">
        <is>
          <t>Vùng nghiên cứu</t>
        </is>
      </c>
    </row>
    <row r="41">
      <c r="A41" s="15" t="inlineStr">
        <is>
          <t>plot</t>
        </is>
      </c>
      <c r="B41" s="15" t="inlineStr">
        <is>
          <t>Map legend</t>
        </is>
      </c>
      <c r="C41" s="9" t="inlineStr">
        <is>
          <t>Map legend</t>
        </is>
      </c>
      <c r="D41" s="9" t="inlineStr">
        <is>
          <t>مفتاح الخريطة</t>
        </is>
      </c>
      <c r="E41" s="9" t="inlineStr">
        <is>
          <t>Llegenda del mapa</t>
        </is>
      </c>
      <c r="F41" s="9" t="inlineStr">
        <is>
          <t>地图图例</t>
        </is>
      </c>
      <c r="G41" s="9" t="inlineStr">
        <is>
          <t>地圖圖例</t>
        </is>
      </c>
      <c r="H41" s="9" t="inlineStr">
        <is>
          <t>Legenda karte</t>
        </is>
      </c>
      <c r="I41" s="8" t="inlineStr">
        <is>
          <t>Legenda mapy</t>
        </is>
      </c>
      <c r="J41" s="16" t="inlineStr">
        <is>
          <t>Kortforklaring</t>
        </is>
      </c>
      <c r="K41" s="9" t="inlineStr">
        <is>
          <t>Kaartlegenda</t>
        </is>
      </c>
      <c r="L41" s="9" t="inlineStr">
        <is>
          <t>Kartan selite</t>
        </is>
      </c>
      <c r="M41" s="9" t="inlineStr">
        <is>
          <t>Légende de carte</t>
        </is>
      </c>
      <c r="N41" s="9" t="inlineStr">
        <is>
          <t>Kartenlegende</t>
        </is>
      </c>
      <c r="O41" s="9" t="inlineStr">
        <is>
          <t>Θρύλος χάρτη</t>
        </is>
      </c>
      <c r="P41" s="9" t="inlineStr">
        <is>
          <t>Labarin taswira</t>
        </is>
      </c>
      <c r="Q41" s="8" t="inlineStr">
        <is>
          <t>नक्शा कथा</t>
        </is>
      </c>
      <c r="R41" s="9" t="inlineStr">
        <is>
          <t>Legenda peta</t>
        </is>
      </c>
      <c r="S41" s="8" t="inlineStr">
        <is>
          <t>Legenda della mappa</t>
        </is>
      </c>
      <c r="T41" s="3" t="inlineStr">
        <is>
          <t>地図の凡例</t>
        </is>
      </c>
      <c r="U41" s="3" t="inlineStr">
        <is>
          <t>지도 범례</t>
        </is>
      </c>
      <c r="V41" s="3" t="inlineStr">
        <is>
          <t>Mapi korero</t>
        </is>
      </c>
      <c r="W41" s="3" t="inlineStr">
        <is>
          <t>नक्सा पौराणिक कथा</t>
        </is>
      </c>
      <c r="X41" s="44" t="inlineStr">
        <is>
          <t>راهنمای نقشه</t>
        </is>
      </c>
      <c r="Y41" s="3" t="inlineStr">
        <is>
          <t>Legenda do mapa</t>
        </is>
      </c>
      <c r="Z41" s="3" t="inlineStr">
        <is>
          <t>Legenda do mapa</t>
        </is>
      </c>
      <c r="AA41" s="3" t="inlineStr">
        <is>
          <t>Leyenda del mapa</t>
        </is>
      </c>
      <c r="AB41" s="3" t="inlineStr">
        <is>
          <t>Leyenda del mapa</t>
        </is>
      </c>
      <c r="AC41" s="3" t="inlineStr">
        <is>
          <t>வரைபட புராணம்</t>
        </is>
      </c>
      <c r="AD41" s="3" t="inlineStr">
        <is>
          <t>คำ​อธิบาย​ใน​แผนที่</t>
        </is>
      </c>
      <c r="AE41" s="3" t="inlineStr">
        <is>
          <t>Harita lejantı</t>
        </is>
      </c>
      <c r="AF41" s="3" t="inlineStr">
        <is>
          <t>Легенда карти</t>
        </is>
      </c>
      <c r="AG41" s="3" t="inlineStr">
        <is>
          <t xml:space="preserve">Chú thích bản đồ </t>
        </is>
      </c>
    </row>
    <row r="42" ht="30" customHeight="1">
      <c r="A42" s="15" t="inlineStr">
        <is>
          <t>plot</t>
        </is>
      </c>
      <c r="B42" s="15" t="inlineStr">
        <is>
          <t>study region legend patch text a</t>
        </is>
      </c>
      <c r="C42" s="9" t="inlineStr">
        <is>
          <t>Administrative boundary
({source})</t>
        </is>
      </c>
      <c r="D42" s="9" t="inlineStr">
        <is>
          <t>الحدود الإدارية ({source})</t>
        </is>
      </c>
      <c r="E42" s="9" t="inlineStr">
        <is>
          <t>Límit administratiu ({source})</t>
        </is>
      </c>
      <c r="F42" s="9" t="inlineStr">
        <is>
          <t>行政边界（{source}）</t>
        </is>
      </c>
      <c r="G42" s="9" t="inlineStr">
        <is>
          <t>行政邊界（{source}）</t>
        </is>
      </c>
      <c r="H42" s="9" t="inlineStr">
        <is>
          <t>Administrativna granica ({source})</t>
        </is>
      </c>
      <c r="I42" s="8" t="inlineStr">
        <is>
          <t>Administrativní hranice ({source})</t>
        </is>
      </c>
      <c r="J42" s="16" t="inlineStr">
        <is>
          <t>Administrativ grænse ({source})</t>
        </is>
      </c>
      <c r="K42" s="9" t="inlineStr">
        <is>
          <t>Administratieve grens ({source})</t>
        </is>
      </c>
      <c r="L42" s="9" t="inlineStr">
        <is>
          <t>Hallinnollinen raja ({source})</t>
        </is>
      </c>
      <c r="M42" s="9" t="inlineStr">
        <is>
          <t>Limite administrative ({source})</t>
        </is>
      </c>
      <c r="N42" s="9" t="inlineStr">
        <is>
          <t>Verwaltungsgrenze ({source})</t>
        </is>
      </c>
      <c r="O42" s="9" t="inlineStr">
        <is>
          <t>Διοικητικό όριο ({source})</t>
        </is>
      </c>
      <c r="P42" s="9" t="inlineStr">
        <is>
          <t>Iyakar gudanarwa ({source})</t>
        </is>
      </c>
      <c r="Q42" s="8" t="inlineStr">
        <is>
          <t>प्रशासनिक सीमा ({source})</t>
        </is>
      </c>
      <c r="R42" s="9" t="inlineStr">
        <is>
          <t>Batas administratif ({source})</t>
        </is>
      </c>
      <c r="S42" s="8" t="inlineStr">
        <is>
          <t>Confine amministrativo ({source})</t>
        </is>
      </c>
      <c r="T42" s="3" t="inlineStr">
        <is>
          <t>行政界 ({source})</t>
        </is>
      </c>
      <c r="U42" s="3" t="inlineStr">
        <is>
          <t>행정 경계({source})</t>
        </is>
      </c>
      <c r="V42" s="3" t="inlineStr">
        <is>
          <t>Te rohe whakahaere ({source})</t>
        </is>
      </c>
      <c r="W42" s="3" t="inlineStr">
        <is>
          <t>प्रशासनिक सीमा ({source})</t>
        </is>
      </c>
      <c r="X42" s="44" t="inlineStr">
        <is>
          <t>مرز اداری ({source})</t>
        </is>
      </c>
      <c r="Y42" s="3" t="inlineStr">
        <is>
          <t>Limite administrativo ({source})</t>
        </is>
      </c>
      <c r="Z42" s="3" t="inlineStr">
        <is>
          <t>Limite administrativo ({source})</t>
        </is>
      </c>
      <c r="AA42" s="3" t="inlineStr">
        <is>
          <t>Límite administrativo ({source})</t>
        </is>
      </c>
      <c r="AB42" s="3" t="inlineStr">
        <is>
          <t>Límite administrativo ({source})</t>
        </is>
      </c>
      <c r="AC42" s="3" t="inlineStr">
        <is>
          <t>நிர்வாக எல்லை ({source})</t>
        </is>
      </c>
      <c r="AD42" s="3" t="inlineStr">
        <is>
          <t>ขอบ​เขต​ทาง​การบ​ริ​หาร ({source})</t>
        </is>
      </c>
      <c r="AE42" s="3" t="inlineStr">
        <is>
          <t>İdari sınır ({source})</t>
        </is>
      </c>
      <c r="AF42" s="3" t="inlineStr">
        <is>
          <t>Адмінмежа ({source})</t>
        </is>
      </c>
      <c r="AG42" s="3" t="inlineStr">
        <is>
          <t>Địa giới hành chính ({source})</t>
        </is>
      </c>
    </row>
    <row r="43" ht="30" customHeight="1">
      <c r="A43" s="15" t="inlineStr">
        <is>
          <t>plot</t>
        </is>
      </c>
      <c r="B43" s="15" t="inlineStr">
        <is>
          <t>study region legend patch text b</t>
        </is>
      </c>
      <c r="C43" s="9" t="inlineStr">
        <is>
          <t>Urban boundary
({source})</t>
        </is>
      </c>
      <c r="D43" s="9" t="inlineStr">
        <is>
          <t>الحدود الحضرية ({source})</t>
        </is>
      </c>
      <c r="E43" s="9" t="inlineStr">
        <is>
          <t>Límit urbà ({source})</t>
        </is>
      </c>
      <c r="F43" s="9" t="inlineStr">
        <is>
          <t>城市边界（{source}）</t>
        </is>
      </c>
      <c r="G43" s="9" t="inlineStr">
        <is>
          <t>城市邊界（{source}）</t>
        </is>
      </c>
      <c r="H43" s="9" t="inlineStr">
        <is>
          <t>Granica grada ({source})</t>
        </is>
      </c>
      <c r="I43" s="8" t="inlineStr">
        <is>
          <t>Městská hranice ({source})</t>
        </is>
      </c>
      <c r="J43" s="16" t="inlineStr">
        <is>
          <t>Bygrænse ({source})</t>
        </is>
      </c>
      <c r="K43" s="9" t="inlineStr">
        <is>
          <t>Stedelijke grens ({source})</t>
        </is>
      </c>
      <c r="L43" s="9" t="inlineStr">
        <is>
          <t>Kaupunkialueen raja ({source})</t>
        </is>
      </c>
      <c r="M43" s="9" t="inlineStr">
        <is>
          <t>Limite urbaine ({source})</t>
        </is>
      </c>
      <c r="N43" s="9" t="inlineStr">
        <is>
          <t>Stadtgrenze ({source})</t>
        </is>
      </c>
      <c r="O43" s="9" t="inlineStr">
        <is>
          <t>Αστικό όριο ({source})</t>
        </is>
      </c>
      <c r="P43" s="9" t="inlineStr">
        <is>
          <t>Iyakar birni ({source})</t>
        </is>
      </c>
      <c r="Q43" s="8" t="inlineStr">
        <is>
          <t>शहरी सीमा ({source})</t>
        </is>
      </c>
      <c r="R43" s="9" t="inlineStr">
        <is>
          <t>Batas kota ({source})</t>
        </is>
      </c>
      <c r="S43" s="8" t="inlineStr">
        <is>
          <t>Confine urbano ({source})</t>
        </is>
      </c>
      <c r="T43" s="3" t="inlineStr">
        <is>
          <t>都市の境界 ({source})</t>
        </is>
      </c>
      <c r="U43" s="3" t="inlineStr">
        <is>
          <t>도시 경계({source})</t>
        </is>
      </c>
      <c r="V43" s="3" t="inlineStr">
        <is>
          <t>Te rohe taone ({source})</t>
        </is>
      </c>
      <c r="W43" s="3" t="inlineStr">
        <is>
          <t>शहरी सीमा ({source})</t>
        </is>
      </c>
      <c r="X43" s="44" t="inlineStr">
        <is>
          <t>حریم شهری ({source})</t>
        </is>
      </c>
      <c r="Y43" s="3" t="inlineStr">
        <is>
          <t>Limite urbano ({source})</t>
        </is>
      </c>
      <c r="Z43" s="3" t="inlineStr">
        <is>
          <t>Limite urbano ({source})</t>
        </is>
      </c>
      <c r="AA43" s="3" t="inlineStr">
        <is>
          <t>Límite urbano ({source})</t>
        </is>
      </c>
      <c r="AB43" s="3" t="inlineStr">
        <is>
          <t>Límite urbano ({source})</t>
        </is>
      </c>
      <c r="AC43" s="3" t="inlineStr">
        <is>
          <t>நகர்ப்புற எல்லை ({source})</t>
        </is>
      </c>
      <c r="AD43" s="3" t="inlineStr">
        <is>
          <t>ขอบ​เขต​ของ​เขต​เมือง ({source})</t>
        </is>
      </c>
      <c r="AE43" s="3" t="inlineStr">
        <is>
          <t>Kent sınırı ({source})</t>
        </is>
      </c>
      <c r="AF43" s="3" t="inlineStr">
        <is>
          <t>Міська межа ({source})</t>
        </is>
      </c>
      <c r="AG43" s="3" t="inlineStr">
        <is>
          <t>Ranh giới đô thị ({source})</t>
        </is>
      </c>
    </row>
    <row r="44" ht="30" customHeight="1">
      <c r="A44" s="15" t="inlineStr">
        <is>
          <t>plot</t>
        </is>
      </c>
      <c r="B44" s="15" t="inlineStr">
        <is>
          <t>study region legend patch text c</t>
        </is>
      </c>
      <c r="C44" s="9" t="inlineStr">
        <is>
          <t>Study region boundary
({source})</t>
        </is>
      </c>
      <c r="D44" s="9" t="inlineStr">
        <is>
          <t>حدود منطقة الدراسة ({source})</t>
        </is>
      </c>
      <c r="E44" s="9" t="inlineStr">
        <is>
          <t>Estudi del límit de la regió ({source})</t>
        </is>
      </c>
      <c r="F44" s="9" t="inlineStr">
        <is>
          <t>研究区域边界（{source}）</t>
        </is>
      </c>
      <c r="G44" s="9" t="inlineStr">
        <is>
          <t>研究區域邊界（{source}）</t>
        </is>
      </c>
      <c r="H44" s="9" t="inlineStr">
        <is>
          <t>Granica regije proučavanja ({source})</t>
        </is>
      </c>
      <c r="I44" s="8" t="inlineStr">
        <is>
          <t>Hranice studijní oblasti ({source})</t>
        </is>
      </c>
      <c r="J44" s="16" t="inlineStr">
        <is>
          <t>Undersøgelsesregionsgrænse ({source})</t>
        </is>
      </c>
      <c r="K44" s="9" t="inlineStr">
        <is>
          <t>Grens studiegebied ({source})</t>
        </is>
      </c>
      <c r="L44" s="9" t="inlineStr">
        <is>
          <t>Tutkimusalueen raja ({source})</t>
        </is>
      </c>
      <c r="M44" s="9" t="inlineStr">
        <is>
          <t>Limite de la région d'étude ({source})</t>
        </is>
      </c>
      <c r="N44" s="9" t="inlineStr">
        <is>
          <t>Grenze der Untersuchungsregion ({source})</t>
        </is>
      </c>
      <c r="O44" s="9" t="inlineStr">
        <is>
          <t>Όριο περιοχής μελέτης ({source})</t>
        </is>
      </c>
      <c r="P44" s="9" t="inlineStr">
        <is>
          <t>Iyakar yanki na nazari ({source})</t>
        </is>
      </c>
      <c r="Q44" s="8" t="inlineStr">
        <is>
          <t>अध्ययन क्षेत्र की सीमा ({source})</t>
        </is>
      </c>
      <c r="R44" s="9" t="inlineStr">
        <is>
          <t>Batas wilayah studi ({source})</t>
        </is>
      </c>
      <c r="S44" s="8" t="inlineStr">
        <is>
          <t>Confine della regione di studio ({source})</t>
        </is>
      </c>
      <c r="T44" s="3" t="inlineStr">
        <is>
          <t>調査領域の境界 ({source})</t>
        </is>
      </c>
      <c r="U44" s="3" t="inlineStr">
        <is>
          <t>연구 지역 경계({source})</t>
        </is>
      </c>
      <c r="V44" s="3" t="inlineStr">
        <is>
          <t>Akohia te rohe rohe ({source})</t>
        </is>
      </c>
      <c r="W44" s="3" t="inlineStr">
        <is>
          <t>अध्ययन क्षेत्र सीमा ({source})</t>
        </is>
      </c>
      <c r="X44" s="44" t="inlineStr">
        <is>
          <t>حوزه مطالعاتی ({source})</t>
        </is>
      </c>
      <c r="Y44" s="3" t="inlineStr">
        <is>
          <t>Limite da região de estudo ({source})</t>
        </is>
      </c>
      <c r="Z44" s="3" t="inlineStr">
        <is>
          <t>Limite da região de estudo ({source})</t>
        </is>
      </c>
      <c r="AA44" s="3" t="inlineStr">
        <is>
          <t>Límite de la región de estudio ({source})</t>
        </is>
      </c>
      <c r="AB44" s="3" t="inlineStr">
        <is>
          <t>Límite de la región de estudio ({source})</t>
        </is>
      </c>
      <c r="AC44" s="3" t="inlineStr">
        <is>
          <t>ஆய்வுப் பகுதி எல்லை ({source})</t>
        </is>
      </c>
      <c r="AD44" s="3" t="inlineStr">
        <is>
          <t>ขอบ​เขต​ของ​พื้นที่​ศึกษา ({source})</t>
        </is>
      </c>
      <c r="AE44" s="3" t="inlineStr">
        <is>
          <t>Çalışma bölgesi sınırı ({source})</t>
        </is>
      </c>
      <c r="AF44" s="3" t="inlineStr">
        <is>
          <t>Межа регіону дослідження ({source})</t>
        </is>
      </c>
      <c r="AG44" s="3" t="inlineStr">
        <is>
          <t>Ranh giới khu vực nghiên cứu ({source})</t>
        </is>
      </c>
    </row>
    <row r="45" ht="30" customHeight="1">
      <c r="A45" s="15" t="inlineStr">
        <is>
          <t>plot</t>
        </is>
      </c>
      <c r="B45" s="15" t="inlineStr">
        <is>
          <t>intersection</t>
        </is>
      </c>
      <c r="C45" s="9" t="inlineStr">
        <is>
          <t>intersection of administrative boundary and urban boundary</t>
        </is>
      </c>
      <c r="D45" s="9" t="inlineStr">
        <is>
          <t>تقاطع الحدود الإدارية والحدود الحضرية</t>
        </is>
      </c>
      <c r="E45" s="9" t="inlineStr">
        <is>
          <t>intersecció del límit administratiu i el límit urbà</t>
        </is>
      </c>
      <c r="F45" s="9" t="inlineStr">
        <is>
          <t>行政边界与城市边界相交</t>
        </is>
      </c>
      <c r="G45" s="9" t="inlineStr">
        <is>
          <t>行政邊界與城市邊界相交</t>
        </is>
      </c>
      <c r="H45" s="9" t="inlineStr">
        <is>
          <t>raskrižje administrativne granice i urbane granice</t>
        </is>
      </c>
      <c r="I45" s="8" t="inlineStr">
        <is>
          <t>křižovatka správní hranice a městské hranice</t>
        </is>
      </c>
      <c r="J45" s="16" t="inlineStr">
        <is>
          <t>skæringspunktet mellem administrativ grænse og bygrænse</t>
        </is>
      </c>
      <c r="K45" s="9" t="inlineStr">
        <is>
          <t>snijpunt van de administratieve grens en de stedelijke grens</t>
        </is>
      </c>
      <c r="L45" s="9" t="inlineStr">
        <is>
          <t>Hallinnollisen rajan ja kaupunkialueen risteys</t>
        </is>
      </c>
      <c r="M45" s="9" t="inlineStr">
        <is>
          <t>intersection de la limite administrative et de la limite urbaine</t>
        </is>
      </c>
      <c r="N45" s="9" t="inlineStr">
        <is>
          <t>Schnittpunkt von Verwaltungsgrenze und Stadtgrenze</t>
        </is>
      </c>
      <c r="O45" s="9" t="inlineStr">
        <is>
          <t>διασταύρωση διοικητικού και αστικού ορίου</t>
        </is>
      </c>
      <c r="P45" s="9" t="inlineStr">
        <is>
          <t>mahada na gudanarwa iyaka da birane iyaka</t>
        </is>
      </c>
      <c r="Q45" s="8" t="inlineStr">
        <is>
          <t>प्रशासनिक सीमा और शहरी सीमा का प्रतिच्छेदन</t>
        </is>
      </c>
      <c r="R45" s="9" t="inlineStr">
        <is>
          <t>perpotongan batas administrasi dan batas kota</t>
        </is>
      </c>
      <c r="S45" s="8" t="inlineStr">
        <is>
          <t>intersezione tra il confine amministrativo e il confine urbano</t>
        </is>
      </c>
      <c r="T45" s="3" t="inlineStr">
        <is>
          <t>行政界と都市境界の交差部分</t>
        </is>
      </c>
      <c r="U45" s="3" t="inlineStr">
        <is>
          <t>행정경계와 도시경계의 교차점</t>
        </is>
      </c>
      <c r="V45" s="3" t="inlineStr">
        <is>
          <t>te whakawhitinga o te rohe whakahaere me te rohe taone</t>
        </is>
      </c>
      <c r="W45" s="3" t="inlineStr">
        <is>
          <t>प्रशासनिक सीमा र शहरी सीमा को प्रतिच्छेदन</t>
        </is>
      </c>
      <c r="X45" s="44" t="inlineStr">
        <is>
          <t>تلاقی مرز اداری و حریم شهری</t>
        </is>
      </c>
      <c r="Y45" s="3" t="inlineStr">
        <is>
          <t>interseção do limite administrativo e do limite urbano</t>
        </is>
      </c>
      <c r="Z45" s="3" t="inlineStr">
        <is>
          <t>interseção da fronteira administrativa e da fronteira urbana</t>
        </is>
      </c>
      <c r="AA45" s="3" t="inlineStr">
        <is>
          <t>intersección del límite administrativo y el límite urbano</t>
        </is>
      </c>
      <c r="AB45" s="3" t="inlineStr">
        <is>
          <t>intersección del límite administrativo y el límite urbano</t>
        </is>
      </c>
      <c r="AC45" s="3" t="inlineStr">
        <is>
          <t>நிர்வாக எல்லை மற்றும் நகர்ப்புற எல்லையின் குறுக்குவெட்டு</t>
        </is>
      </c>
      <c r="AD45" s="3" t="inlineStr">
        <is>
          <t>จุด​แบ่ง​ของ​เขต​ปกครอง​และ​เขต​เมือง</t>
        </is>
      </c>
      <c r="AE45" s="3" t="inlineStr">
        <is>
          <t>idari sınır ile kentsel sınırın kesişimi</t>
        </is>
      </c>
      <c r="AF45" s="3" t="inlineStr">
        <is>
          <t>перетин адміністративної межі та межі міста</t>
        </is>
      </c>
      <c r="AG45" s="3" t="inlineStr">
        <is>
          <t>nơi giao nhau giữa địa giới hành chính và ranh giới đô thị</t>
        </is>
      </c>
    </row>
    <row r="46">
      <c r="A46" s="15" t="inlineStr">
        <is>
          <t>plot</t>
        </is>
      </c>
      <c r="B46" s="15" t="inlineStr">
        <is>
          <t>north arrow</t>
        </is>
      </c>
      <c r="C46" s="9" t="inlineStr">
        <is>
          <t>N</t>
        </is>
      </c>
      <c r="D46" s="9" t="inlineStr">
        <is>
          <t>ن</t>
        </is>
      </c>
      <c r="E46" s="9" t="inlineStr">
        <is>
          <t>N</t>
        </is>
      </c>
      <c r="F46" s="9" t="inlineStr">
        <is>
          <t>北</t>
        </is>
      </c>
      <c r="G46" s="9" t="inlineStr">
        <is>
          <t>北</t>
        </is>
      </c>
      <c r="H46" s="9" t="inlineStr">
        <is>
          <t>N</t>
        </is>
      </c>
      <c r="I46" s="8" t="inlineStr">
        <is>
          <t>S</t>
        </is>
      </c>
      <c r="J46" s="16" t="inlineStr">
        <is>
          <t>N</t>
        </is>
      </c>
      <c r="K46" s="9" t="inlineStr">
        <is>
          <t>N</t>
        </is>
      </c>
      <c r="L46" s="9" t="inlineStr">
        <is>
          <t>N</t>
        </is>
      </c>
      <c r="M46" s="9" t="inlineStr">
        <is>
          <t>N</t>
        </is>
      </c>
      <c r="N46" s="9" t="inlineStr">
        <is>
          <t>N</t>
        </is>
      </c>
      <c r="O46" s="9" t="inlineStr">
        <is>
          <t>Ν</t>
        </is>
      </c>
      <c r="P46" s="9" t="inlineStr">
        <is>
          <t>N</t>
        </is>
      </c>
      <c r="Q46" s="8" t="inlineStr">
        <is>
          <t>एन</t>
        </is>
      </c>
      <c r="R46" s="9" t="inlineStr">
        <is>
          <t>N</t>
        </is>
      </c>
      <c r="S46" s="8" t="inlineStr">
        <is>
          <t>N</t>
        </is>
      </c>
      <c r="T46" s="3" t="inlineStr">
        <is>
          <t>N</t>
        </is>
      </c>
      <c r="U46" s="3" t="inlineStr">
        <is>
          <t>N</t>
        </is>
      </c>
      <c r="V46" s="3" t="inlineStr">
        <is>
          <t>N</t>
        </is>
      </c>
      <c r="W46" s="3" t="inlineStr">
        <is>
          <t>एन</t>
        </is>
      </c>
      <c r="X46" s="44" t="inlineStr">
        <is>
          <t>شمال</t>
        </is>
      </c>
      <c r="Y46" s="3" t="inlineStr">
        <is>
          <t>N</t>
        </is>
      </c>
      <c r="Z46" s="3" t="inlineStr">
        <is>
          <t>N</t>
        </is>
      </c>
      <c r="AA46" s="3" t="inlineStr">
        <is>
          <t>N</t>
        </is>
      </c>
      <c r="AB46" s="3" t="inlineStr">
        <is>
          <t>N</t>
        </is>
      </c>
      <c r="AC46" s="3" t="inlineStr">
        <is>
          <t>வட</t>
        </is>
      </c>
      <c r="AD46" s="3" t="inlineStr">
        <is>
          <t>ทิศ​เหนือ</t>
        </is>
      </c>
      <c r="AE46" s="3" t="inlineStr">
        <is>
          <t>N</t>
        </is>
      </c>
      <c r="AF46" s="3" t="inlineStr">
        <is>
          <t>Н</t>
        </is>
      </c>
      <c r="AG46" s="3" t="inlineStr">
        <is>
          <t>B</t>
        </is>
      </c>
    </row>
    <row r="47">
      <c r="A47" s="15" t="inlineStr">
        <is>
          <t>plot</t>
        </is>
      </c>
      <c r="B47" s="15" t="inlineStr">
        <is>
          <t>km</t>
        </is>
      </c>
      <c r="C47" s="9" t="inlineStr">
        <is>
          <t>km</t>
        </is>
      </c>
      <c r="D47" s="9" t="inlineStr">
        <is>
          <t>كم</t>
        </is>
      </c>
      <c r="E47" s="9" t="inlineStr">
        <is>
          <t>km</t>
        </is>
      </c>
      <c r="F47" s="9" t="inlineStr">
        <is>
          <t>公里</t>
        </is>
      </c>
      <c r="G47" s="9" t="inlineStr">
        <is>
          <t>公里</t>
        </is>
      </c>
      <c r="H47" s="9" t="inlineStr">
        <is>
          <t>km</t>
        </is>
      </c>
      <c r="I47" s="8" t="inlineStr">
        <is>
          <t>km</t>
        </is>
      </c>
      <c r="J47" s="16" t="inlineStr">
        <is>
          <t>km</t>
        </is>
      </c>
      <c r="K47" s="9" t="inlineStr">
        <is>
          <t>km</t>
        </is>
      </c>
      <c r="L47" s="9" t="inlineStr">
        <is>
          <t>km</t>
        </is>
      </c>
      <c r="M47" s="9" t="inlineStr">
        <is>
          <t>kilomètres</t>
        </is>
      </c>
      <c r="N47" s="9" t="inlineStr">
        <is>
          <t>km</t>
        </is>
      </c>
      <c r="O47" s="9" t="inlineStr">
        <is>
          <t>χλμ</t>
        </is>
      </c>
      <c r="P47" s="9" t="inlineStr">
        <is>
          <t>km</t>
        </is>
      </c>
      <c r="Q47" s="8" t="inlineStr">
        <is>
          <t>किमी</t>
        </is>
      </c>
      <c r="R47" s="9" t="inlineStr">
        <is>
          <t>km</t>
        </is>
      </c>
      <c r="S47" s="8" t="inlineStr">
        <is>
          <t>km</t>
        </is>
      </c>
      <c r="T47" s="3" t="inlineStr">
        <is>
          <t>km</t>
        </is>
      </c>
      <c r="U47" s="3" t="inlineStr">
        <is>
          <t>킬로미터</t>
        </is>
      </c>
      <c r="V47" s="3" t="inlineStr">
        <is>
          <t>km</t>
        </is>
      </c>
      <c r="W47" s="3" t="inlineStr">
        <is>
          <t>km</t>
        </is>
      </c>
      <c r="X47" s="44" t="inlineStr">
        <is>
          <t>کیلومتر</t>
        </is>
      </c>
      <c r="Y47" s="3" t="inlineStr">
        <is>
          <t>km</t>
        </is>
      </c>
      <c r="Z47" s="3" t="inlineStr">
        <is>
          <t>km</t>
        </is>
      </c>
      <c r="AA47" s="3" t="inlineStr">
        <is>
          <t>km</t>
        </is>
      </c>
      <c r="AB47" s="3" t="inlineStr">
        <is>
          <t>km</t>
        </is>
      </c>
      <c r="AC47" s="3" t="inlineStr">
        <is>
          <t>கி.மீ</t>
        </is>
      </c>
      <c r="AD47" s="3" t="inlineStr">
        <is>
          <t>กม</t>
        </is>
      </c>
      <c r="AE47" s="3" t="inlineStr">
        <is>
          <t>km</t>
        </is>
      </c>
      <c r="AF47" s="3" t="inlineStr">
        <is>
          <t>км</t>
        </is>
      </c>
      <c r="AG47" s="3" t="inlineStr">
        <is>
          <t>km</t>
        </is>
      </c>
    </row>
    <row r="48">
      <c r="A48" s="15" t="inlineStr">
        <is>
          <t>plot</t>
        </is>
      </c>
      <c r="B48" s="15" t="inlineStr">
        <is>
          <t>m</t>
        </is>
      </c>
      <c r="C48" s="9" t="inlineStr">
        <is>
          <t>m</t>
        </is>
      </c>
      <c r="D48" s="9" t="inlineStr">
        <is>
          <t>م</t>
        </is>
      </c>
      <c r="E48" s="9" t="inlineStr">
        <is>
          <t>m</t>
        </is>
      </c>
      <c r="F48" s="9" t="inlineStr">
        <is>
          <t>米</t>
        </is>
      </c>
      <c r="G48" s="9" t="inlineStr">
        <is>
          <t>米</t>
        </is>
      </c>
      <c r="H48" s="9" t="inlineStr">
        <is>
          <t>m</t>
        </is>
      </c>
      <c r="I48" s="8" t="inlineStr">
        <is>
          <t>m</t>
        </is>
      </c>
      <c r="J48" s="16" t="inlineStr">
        <is>
          <t>m</t>
        </is>
      </c>
      <c r="K48" s="9" t="inlineStr">
        <is>
          <t>m</t>
        </is>
      </c>
      <c r="L48" s="9" t="inlineStr">
        <is>
          <t>m</t>
        </is>
      </c>
      <c r="M48" s="9" t="inlineStr">
        <is>
          <t>m</t>
        </is>
      </c>
      <c r="N48" s="9" t="inlineStr">
        <is>
          <t>m</t>
        </is>
      </c>
      <c r="O48" s="9" t="inlineStr">
        <is>
          <t>Μ</t>
        </is>
      </c>
      <c r="P48" s="9" t="inlineStr">
        <is>
          <t>m</t>
        </is>
      </c>
      <c r="Q48" s="8" t="inlineStr">
        <is>
          <t>एम</t>
        </is>
      </c>
      <c r="R48" s="9" t="inlineStr">
        <is>
          <t>M</t>
        </is>
      </c>
      <c r="S48" s="8" t="inlineStr">
        <is>
          <t>m</t>
        </is>
      </c>
      <c r="T48" s="3" t="inlineStr">
        <is>
          <t>m</t>
        </is>
      </c>
      <c r="U48" s="3" t="inlineStr">
        <is>
          <t>미터</t>
        </is>
      </c>
      <c r="V48" s="3" t="inlineStr">
        <is>
          <t>m</t>
        </is>
      </c>
      <c r="W48" s="3" t="inlineStr">
        <is>
          <t>m</t>
        </is>
      </c>
      <c r="X48" s="44" t="inlineStr">
        <is>
          <t>متر</t>
        </is>
      </c>
      <c r="Y48" s="3" t="inlineStr">
        <is>
          <t>m</t>
        </is>
      </c>
      <c r="Z48" s="3" t="inlineStr">
        <is>
          <t>m</t>
        </is>
      </c>
      <c r="AA48" s="3" t="inlineStr">
        <is>
          <t>m</t>
        </is>
      </c>
      <c r="AB48" s="3" t="inlineStr">
        <is>
          <t>m</t>
        </is>
      </c>
      <c r="AC48" s="3" t="inlineStr">
        <is>
          <t>மீட்டர்</t>
        </is>
      </c>
      <c r="AD48" s="3" t="inlineStr">
        <is>
          <t>เมตร</t>
        </is>
      </c>
      <c r="AE48" s="3" t="inlineStr">
        <is>
          <t>m</t>
        </is>
      </c>
      <c r="AF48" s="3" t="inlineStr">
        <is>
          <t>м</t>
        </is>
      </c>
      <c r="AG48" s="3" t="inlineStr">
        <is>
          <t>m</t>
        </is>
      </c>
    </row>
    <row r="49">
      <c r="A49" s="15" t="inlineStr">
        <is>
          <t>plot</t>
        </is>
      </c>
      <c r="B49" s="15" t="inlineStr">
        <is>
          <t>density_units</t>
        </is>
      </c>
      <c r="C49" s="9" t="inlineStr">
        <is>
          <t>per km²</t>
        </is>
      </c>
      <c r="D49" s="8" t="inlineStr">
        <is>
          <t>لكل كيلومتر مربع</t>
        </is>
      </c>
      <c r="E49" s="8" t="inlineStr">
        <is>
          <t>per km²</t>
        </is>
      </c>
      <c r="F49" s="9" t="inlineStr">
        <is>
          <t>每平方公里</t>
        </is>
      </c>
      <c r="G49" s="8" t="inlineStr">
        <is>
          <t>每平方公里</t>
        </is>
      </c>
      <c r="H49" s="16" t="inlineStr">
        <is>
          <t>po km²</t>
        </is>
      </c>
      <c r="I49" s="8" t="inlineStr">
        <is>
          <t>na km²</t>
        </is>
      </c>
      <c r="J49" s="16" t="inlineStr">
        <is>
          <t>pr. km²</t>
        </is>
      </c>
      <c r="K49" s="16" t="inlineStr">
        <is>
          <t>per km²</t>
        </is>
      </c>
      <c r="L49" s="8" t="inlineStr">
        <is>
          <t>per km²</t>
        </is>
      </c>
      <c r="M49" s="8" t="inlineStr">
        <is>
          <t>par km²</t>
        </is>
      </c>
      <c r="N49" s="8" t="inlineStr">
        <is>
          <t>pro km²</t>
        </is>
      </c>
      <c r="O49" s="8" t="inlineStr">
        <is>
          <t>ανά km²</t>
        </is>
      </c>
      <c r="P49" s="8" t="inlineStr">
        <is>
          <t>akowace km²</t>
        </is>
      </c>
      <c r="Q49" s="8" t="inlineStr">
        <is>
          <t>प्रति किमी²</t>
        </is>
      </c>
      <c r="R49" s="8" t="inlineStr">
        <is>
          <t>per km²</t>
        </is>
      </c>
      <c r="S49" s="8" t="inlineStr">
        <is>
          <t>per km²</t>
        </is>
      </c>
      <c r="T49" s="3" t="inlineStr">
        <is>
          <t>km²あたり</t>
        </is>
      </c>
      <c r="U49" s="3" t="inlineStr">
        <is>
          <t>km²당</t>
        </is>
      </c>
      <c r="V49" s="3" t="inlineStr">
        <is>
          <t>ia km²</t>
        </is>
      </c>
      <c r="W49" s="3" t="inlineStr">
        <is>
          <t>प्रति किमी²</t>
        </is>
      </c>
      <c r="X49" s="44" t="inlineStr">
        <is>
          <t>در هر کیلومتر مربع</t>
        </is>
      </c>
      <c r="Y49" s="3" t="inlineStr">
        <is>
          <t>por km²</t>
        </is>
      </c>
      <c r="Z49" s="3" t="inlineStr">
        <is>
          <t>por km²</t>
        </is>
      </c>
      <c r="AA49" s="3" t="inlineStr">
        <is>
          <t>por km²</t>
        </is>
      </c>
      <c r="AB49" s="3" t="inlineStr">
        <is>
          <t>por km²</t>
        </is>
      </c>
      <c r="AC49" s="3" t="inlineStr">
        <is>
          <t>ஒரு கி.மீ²</t>
        </is>
      </c>
      <c r="AD49" s="3" t="inlineStr">
        <is>
          <t>ต่อ​ตาราง​กิโลเมตร</t>
        </is>
      </c>
      <c r="AE49" s="3" t="inlineStr">
        <is>
          <t>km² başına</t>
        </is>
      </c>
      <c r="AF49" s="3" t="inlineStr">
        <is>
          <t>за км²</t>
        </is>
      </c>
      <c r="AG49" s="3" t="inlineStr">
        <is>
          <t>trên mỗi km²</t>
        </is>
      </c>
    </row>
    <row r="50">
      <c r="A50" s="15" t="inlineStr">
        <is>
          <t>plot</t>
        </is>
      </c>
      <c r="B50" s="15" t="inlineStr">
        <is>
          <t>Food market</t>
        </is>
      </c>
      <c r="C50" s="9" t="inlineStr">
        <is>
          <t>Food market</t>
        </is>
      </c>
      <c r="D50" s="8" t="inlineStr">
        <is>
          <t>سوق المواد الغذائية</t>
        </is>
      </c>
      <c r="E50" s="8" t="inlineStr">
        <is>
          <t>Mercat alimentari</t>
        </is>
      </c>
      <c r="F50" s="9" t="inlineStr">
        <is>
          <t>食品市场</t>
        </is>
      </c>
      <c r="G50" s="8" t="inlineStr">
        <is>
          <t>食品市場</t>
        </is>
      </c>
      <c r="H50" s="16" t="inlineStr">
        <is>
          <t>Tržnica hrane</t>
        </is>
      </c>
      <c r="I50" s="8" t="inlineStr">
        <is>
          <t>Obchod s potravinami</t>
        </is>
      </c>
      <c r="J50" s="16" t="inlineStr">
        <is>
          <t>Fødevarerbutikker</t>
        </is>
      </c>
      <c r="K50" s="16" t="inlineStr">
        <is>
          <t>Supermarkt</t>
        </is>
      </c>
      <c r="L50" s="8" t="inlineStr">
        <is>
          <t>Ruokakauppa</t>
        </is>
      </c>
      <c r="M50" s="8" t="inlineStr">
        <is>
          <t>Magasin de nourriture</t>
        </is>
      </c>
      <c r="N50" s="8" t="inlineStr">
        <is>
          <t>Lebensmittelmarkt</t>
        </is>
      </c>
      <c r="O50" s="8" t="inlineStr">
        <is>
          <t>Αγορά τροφίμων</t>
        </is>
      </c>
      <c r="P50" s="8" t="inlineStr">
        <is>
          <t>Kasuwar abinci</t>
        </is>
      </c>
      <c r="Q50" s="8" t="inlineStr">
        <is>
          <t>खाद्य बाजार</t>
        </is>
      </c>
      <c r="R50" s="8" t="inlineStr">
        <is>
          <t>Pasar makanan</t>
        </is>
      </c>
      <c r="S50" s="8" t="inlineStr">
        <is>
          <t>Supermercato</t>
        </is>
      </c>
      <c r="T50" s="3" t="inlineStr">
        <is>
          <t>食品市場</t>
        </is>
      </c>
      <c r="U50" s="3" t="inlineStr">
        <is>
          <t>식료품점</t>
        </is>
      </c>
      <c r="V50" s="3" t="inlineStr">
        <is>
          <t>Toa Hokokai</t>
        </is>
      </c>
      <c r="W50" s="3" t="inlineStr">
        <is>
          <t>खाद्य बजार</t>
        </is>
      </c>
      <c r="X50" s="44" t="inlineStr">
        <is>
          <t>بازار مواد غذایی</t>
        </is>
      </c>
      <c r="Y50" s="3" t="inlineStr">
        <is>
          <t>Mercado de Alimentos</t>
        </is>
      </c>
      <c r="Z50" s="3" t="inlineStr">
        <is>
          <t>Mercado alimentar</t>
        </is>
      </c>
      <c r="AA50" s="3" t="inlineStr">
        <is>
          <t>Mercado</t>
        </is>
      </c>
      <c r="AB50" s="3" t="inlineStr">
        <is>
          <t>Mercado de alimentos</t>
        </is>
      </c>
      <c r="AC50" s="3" t="inlineStr">
        <is>
          <t>உணவு சந்தை</t>
        </is>
      </c>
      <c r="AD50" s="3" t="inlineStr">
        <is>
          <t>ตลาด​อาหาร</t>
        </is>
      </c>
      <c r="AE50" s="3" t="inlineStr">
        <is>
          <t>Gıda marketi</t>
        </is>
      </c>
      <c r="AF50" s="3" t="inlineStr">
        <is>
          <t>Продуктовий ринок</t>
        </is>
      </c>
      <c r="AG50" s="3" t="inlineStr">
        <is>
          <t>Chợ thực phẩm</t>
        </is>
      </c>
    </row>
    <row r="51">
      <c r="A51" s="15" t="inlineStr">
        <is>
          <t>plot</t>
        </is>
      </c>
      <c r="B51" s="15" t="inlineStr">
        <is>
          <t>Convenience store</t>
        </is>
      </c>
      <c r="C51" s="9" t="inlineStr">
        <is>
          <t>Convenience store</t>
        </is>
      </c>
      <c r="D51" s="8" t="inlineStr">
        <is>
          <t>محل بقالة</t>
        </is>
      </c>
      <c r="E51" s="8" t="inlineStr">
        <is>
          <t>Botiga de barri</t>
        </is>
      </c>
      <c r="F51" s="9" t="inlineStr">
        <is>
          <t>便利商店</t>
        </is>
      </c>
      <c r="G51" s="8" t="inlineStr">
        <is>
          <t>便利商店</t>
        </is>
      </c>
      <c r="H51" s="16" t="inlineStr">
        <is>
          <t>Mini market</t>
        </is>
      </c>
      <c r="I51" s="8" t="inlineStr">
        <is>
          <t>Obchod se smíšeným zbožím</t>
        </is>
      </c>
      <c r="J51" s="16" t="inlineStr">
        <is>
          <t>Dagligvare -butikker</t>
        </is>
      </c>
      <c r="K51" s="16" t="inlineStr">
        <is>
          <t>Buurtwinkel</t>
        </is>
      </c>
      <c r="L51" s="8" t="inlineStr">
        <is>
          <t>Lähikauppa</t>
        </is>
      </c>
      <c r="M51" s="8" t="inlineStr">
        <is>
          <t>Épicerie</t>
        </is>
      </c>
      <c r="N51" s="8" t="inlineStr">
        <is>
          <t>Nachbarschaftsladen</t>
        </is>
      </c>
      <c r="O51" s="8" t="inlineStr">
        <is>
          <t>Παντοπωλείο</t>
        </is>
      </c>
      <c r="P51" s="8" t="inlineStr">
        <is>
          <t>kantin kayan dadi</t>
        </is>
      </c>
      <c r="Q51" s="8" t="inlineStr">
        <is>
          <t>सुविधा स्टोर</t>
        </is>
      </c>
      <c r="R51" s="8" t="inlineStr">
        <is>
          <t>Toko serba-ada</t>
        </is>
      </c>
      <c r="S51" s="8" t="inlineStr">
        <is>
          <t>Minimarket</t>
        </is>
      </c>
      <c r="T51" s="3" t="inlineStr">
        <is>
          <t>コンビニ</t>
        </is>
      </c>
      <c r="U51" s="3" t="inlineStr">
        <is>
          <t>편의점</t>
        </is>
      </c>
      <c r="V51" s="3" t="inlineStr">
        <is>
          <t>Toa Hokohoko</t>
        </is>
      </c>
      <c r="W51" s="3" t="inlineStr">
        <is>
          <t>सुविधा स्टोर</t>
        </is>
      </c>
      <c r="X51" s="44" t="inlineStr">
        <is>
          <t>خواروبارفروشی کوچک</t>
        </is>
      </c>
      <c r="Y51" s="3" t="inlineStr">
        <is>
          <t>Loja de conveniência</t>
        </is>
      </c>
      <c r="Z51" s="3" t="inlineStr">
        <is>
          <t>Loja de conveniência</t>
        </is>
      </c>
      <c r="AA51" s="3" t="inlineStr">
        <is>
          <t>Tienda de Conveniencia</t>
        </is>
      </c>
      <c r="AB51" s="3" t="inlineStr">
        <is>
          <t>Tienda de barrio</t>
        </is>
      </c>
      <c r="AC51" s="3" t="inlineStr">
        <is>
          <t>மளிகை கடை</t>
        </is>
      </c>
      <c r="AD51" s="3" t="inlineStr">
        <is>
          <t>ร้าน​สะดวก​ซื้อ</t>
        </is>
      </c>
      <c r="AE51" s="3" t="inlineStr">
        <is>
          <t>Market</t>
        </is>
      </c>
      <c r="AF51" s="3" t="inlineStr">
        <is>
          <t>Крамниця</t>
        </is>
      </c>
      <c r="AG51" s="3" t="inlineStr">
        <is>
          <t>Cửa hàng tiện lợi</t>
        </is>
      </c>
    </row>
    <row r="52">
      <c r="A52" s="15" t="inlineStr">
        <is>
          <t>plot</t>
        </is>
      </c>
      <c r="B52" s="15" t="inlineStr">
        <is>
          <t>Any public open space</t>
        </is>
      </c>
      <c r="C52" s="9" t="inlineStr">
        <is>
          <t>Any public open space</t>
        </is>
      </c>
      <c r="D52" s="8" t="inlineStr">
        <is>
          <t>أي مساحة عامة مفتوحة</t>
        </is>
      </c>
      <c r="E52" s="8" t="inlineStr">
        <is>
          <t>Qualsevol espai públic obert</t>
        </is>
      </c>
      <c r="F52" s="9" t="inlineStr">
        <is>
          <t>任何公共开放空间</t>
        </is>
      </c>
      <c r="G52" s="8" t="inlineStr">
        <is>
          <t>任何公共開放空間</t>
        </is>
      </c>
      <c r="H52" s="16" t="inlineStr">
        <is>
          <t>Svaki javni otvoreni prostor</t>
        </is>
      </c>
      <c r="I52" s="8" t="inlineStr">
        <is>
          <t>Jakékoli veřejné prostranství</t>
        </is>
      </c>
      <c r="J52" s="16" t="inlineStr">
        <is>
          <t>Enhvert offentligt åbent rum</t>
        </is>
      </c>
      <c r="K52" s="16" t="inlineStr">
        <is>
          <t>Publieke open ruimte (algemeen)</t>
        </is>
      </c>
      <c r="L52" s="8" t="inlineStr">
        <is>
          <t>Mikä tahansa julkinen avoin tila</t>
        </is>
      </c>
      <c r="M52" s="8" t="inlineStr">
        <is>
          <t>Tout espace public ouvert</t>
        </is>
      </c>
      <c r="N52" s="8" t="inlineStr">
        <is>
          <t>Öffentlicher Freiraum</t>
        </is>
      </c>
      <c r="O52" s="8" t="inlineStr">
        <is>
          <t>Οποιοσδήποτε δημόσιος ανοιχτός χώρος</t>
        </is>
      </c>
      <c r="P52" s="8" t="inlineStr">
        <is>
          <t>Duk wani fili na jama'a</t>
        </is>
      </c>
      <c r="Q52" s="8" t="inlineStr">
        <is>
          <t>कोई भी सार्वजनिक खुला स्थान</t>
        </is>
      </c>
      <c r="R52" s="8" t="inlineStr">
        <is>
          <t>Ruang terbuka publik apa pun</t>
        </is>
      </c>
      <c r="S52" s="8" t="inlineStr">
        <is>
          <t>Qualsiasi spazio pubblico all’aperto</t>
        </is>
      </c>
      <c r="T52" s="3" t="inlineStr">
        <is>
          <t>全ての公的オープンスペース</t>
        </is>
      </c>
      <c r="U52" s="3" t="inlineStr">
        <is>
          <t>모든 공공 야외 공간</t>
        </is>
      </c>
      <c r="V52" s="3" t="inlineStr">
        <is>
          <t>Wāhi Tūwhera</t>
        </is>
      </c>
      <c r="W52" s="3" t="inlineStr">
        <is>
          <t>कुनै पनि सार्वजनिक खुला ठाउँ</t>
        </is>
      </c>
      <c r="X52" s="44" t="inlineStr">
        <is>
          <t>هر فضای باز عمومی</t>
        </is>
      </c>
      <c r="Y52" s="3" t="inlineStr">
        <is>
          <t>Qualquer espaço público aberto</t>
        </is>
      </c>
      <c r="Z52" s="3" t="inlineStr">
        <is>
          <t>Qualquer espaço público aberto</t>
        </is>
      </c>
      <c r="AA52" s="3" t="inlineStr">
        <is>
          <t>Cualquier espacio público abierto</t>
        </is>
      </c>
      <c r="AB52" s="3" t="inlineStr">
        <is>
          <t>Cualquier espacio público abierto</t>
        </is>
      </c>
      <c r="AC52" s="3" t="inlineStr">
        <is>
          <t>ஏதேனும் பொது திறந்தவெளி</t>
        </is>
      </c>
      <c r="AD52" s="3" t="inlineStr">
        <is>
          <t>พื้นที่​เปิด​โล่ง​สาธารณะ​โดย​ทั่ว​ไป</t>
        </is>
      </c>
      <c r="AE52" s="3" t="inlineStr">
        <is>
          <t>Kamuya açık herhangi bir alan</t>
        </is>
      </c>
      <c r="AF52" s="3" t="inlineStr">
        <is>
          <t>Будь-який публічний відкритий простір</t>
        </is>
      </c>
      <c r="AG52" s="3" t="inlineStr">
        <is>
          <t>Bất kỳ không gian mở công cộng nào</t>
        </is>
      </c>
    </row>
    <row r="53">
      <c r="A53" s="15" t="inlineStr">
        <is>
          <t>plot</t>
        </is>
      </c>
      <c r="B53" s="15" t="inlineStr">
        <is>
          <t>Public transport stop</t>
        </is>
      </c>
      <c r="C53" s="9" t="inlineStr">
        <is>
          <t>Public transport stop</t>
        </is>
      </c>
      <c r="D53" s="8" t="inlineStr">
        <is>
          <t>توقف وسائل النقل العام</t>
        </is>
      </c>
      <c r="E53" s="8" t="inlineStr">
        <is>
          <t>Parada de transport públic</t>
        </is>
      </c>
      <c r="F53" s="9" t="inlineStr">
        <is>
          <t>公共交通站</t>
        </is>
      </c>
      <c r="G53" s="8" t="inlineStr">
        <is>
          <t>公共交通站</t>
        </is>
      </c>
      <c r="H53" s="16" t="inlineStr">
        <is>
          <t>Stajalište javnog prijevoza</t>
        </is>
      </c>
      <c r="I53" s="8" t="inlineStr">
        <is>
          <t>Zastávka veřejné dopravy</t>
        </is>
      </c>
      <c r="J53" s="16" t="inlineStr">
        <is>
          <t>Stop for offentlig transport</t>
        </is>
      </c>
      <c r="K53" s="16" t="inlineStr">
        <is>
          <t>Halte voor openbaar vervoer</t>
        </is>
      </c>
      <c r="L53" s="8" t="inlineStr">
        <is>
          <t>Julkisen liikenteen pysäkki</t>
        </is>
      </c>
      <c r="M53" s="8" t="inlineStr">
        <is>
          <t>Arrêt des transports en commun</t>
        </is>
      </c>
      <c r="N53" s="8" t="inlineStr">
        <is>
          <t>Haltestelle der öffentlichen Verkehrsmittel</t>
        </is>
      </c>
      <c r="O53" s="8" t="inlineStr">
        <is>
          <t>Στάση δημόσιας συγκοινωνίας</t>
        </is>
      </c>
      <c r="P53" s="8" t="inlineStr">
        <is>
          <t>Tashar sufurin jama'a</t>
        </is>
      </c>
      <c r="Q53" s="8" t="inlineStr">
        <is>
          <t>सार्वजनिक परिवहन बंद</t>
        </is>
      </c>
      <c r="R53" s="8" t="inlineStr">
        <is>
          <t>Halte angkutan umum</t>
        </is>
      </c>
      <c r="S53" s="8" t="inlineStr">
        <is>
          <t>Fermata   dei mezzi pubblici</t>
        </is>
      </c>
      <c r="T53" s="3" t="inlineStr">
        <is>
          <t>公共交通の停留所</t>
        </is>
      </c>
      <c r="U53" s="3" t="inlineStr">
        <is>
          <t>대중교통 정류장</t>
        </is>
      </c>
      <c r="V53" s="3" t="inlineStr">
        <is>
          <t>Tūnga
    Waka
    Tāone</t>
        </is>
      </c>
      <c r="W53" s="3" t="inlineStr">
        <is>
          <t>सार्वजनिक यातायात बन्द</t>
        </is>
      </c>
      <c r="X53" s="44" t="inlineStr">
        <is>
          <t>ایستگاه وسایل حمل‌ونقل عمومی</t>
        </is>
      </c>
      <c r="Y53" s="3" t="inlineStr">
        <is>
          <t>Parada de transporte público</t>
        </is>
      </c>
      <c r="Z53" s="3" t="inlineStr">
        <is>
          <t>Paragem de transportes públicos</t>
        </is>
      </c>
      <c r="AA53" s="3" t="inlineStr">
        <is>
          <t>Parada de transporte público</t>
        </is>
      </c>
      <c r="AB53" s="3" t="inlineStr">
        <is>
          <t>Parada de transporte público</t>
        </is>
      </c>
      <c r="AC53" s="3" t="inlineStr">
        <is>
          <t>பொது போக்குவரத்து நிறுத்தம்</t>
        </is>
      </c>
      <c r="AD53" s="3" t="inlineStr">
        <is>
          <t>ป้าย​จอด​รถ​โดยสาร</t>
        </is>
      </c>
      <c r="AE53" s="3" t="inlineStr">
        <is>
          <t>Toplu taşıma durağı</t>
        </is>
      </c>
      <c r="AF53" s="3" t="inlineStr">
        <is>
          <t>Зупинка громадського транспорту</t>
        </is>
      </c>
      <c r="AG53" s="3" t="inlineStr">
        <is>
          <t>Điểm dừng đón phương tiện giao thông công cộng</t>
        </is>
      </c>
    </row>
    <row r="54" ht="45" customHeight="1">
      <c r="A54" s="15" t="inlineStr">
        <is>
          <t>plot</t>
        </is>
      </c>
      <c r="B54" s="15" t="inlineStr">
        <is>
          <t>Public transport with regular service</t>
        </is>
      </c>
      <c r="C54" s="9" t="inlineStr">
        <is>
          <t>Public transport with regular service</t>
        </is>
      </c>
      <c r="D54" s="8" t="inlineStr">
        <is>
          <t>وسائل النقل العام مع خدمة منتظمة</t>
        </is>
      </c>
      <c r="E54" s="8" t="inlineStr">
        <is>
          <t>Transport públic amb servei regular</t>
        </is>
      </c>
      <c r="F54" s="9" t="inlineStr">
        <is>
          <t>提供定期运营服务的公共交通</t>
        </is>
      </c>
      <c r="G54" s="8" t="inlineStr">
        <is>
          <t>提供定期運營服務的公共交通</t>
        </is>
      </c>
      <c r="H54" s="16" t="inlineStr">
        <is>
          <t>Javni prijevoz s redovnom linijom</t>
        </is>
      </c>
      <c r="I54" s="8" t="inlineStr">
        <is>
          <t>Pravidelná linková doprava</t>
        </is>
      </c>
      <c r="J54" s="16" t="inlineStr">
        <is>
          <t>Offentlig transport med regelmæssige afgange</t>
        </is>
      </c>
      <c r="K54" s="16" t="inlineStr">
        <is>
          <t>Openbaar vervoer met regelmatige dienst</t>
        </is>
      </c>
      <c r="L54" s="8" t="inlineStr">
        <is>
          <t>Julkinen liikenne säännöllisellä liikenteellä</t>
        </is>
      </c>
      <c r="M54" s="8" t="inlineStr">
        <is>
          <t>Transports publics avec service régulier</t>
        </is>
      </c>
      <c r="N54" s="8" t="inlineStr">
        <is>
          <t>Öffentliche Verkehrsmittel mit Linienverkehr</t>
        </is>
      </c>
      <c r="O54" s="8" t="inlineStr">
        <is>
          <t>Μέσα μαζικής μεταφοράς με τακτικά δρομολόγια</t>
        </is>
      </c>
      <c r="P54" s="8" t="inlineStr">
        <is>
          <t>Jirgin jama'a tare da sabis na yau da kullun</t>
        </is>
      </c>
      <c r="Q54" s="8" t="inlineStr">
        <is>
          <t>नियमित सेवा वाला सार्वजनिक परिवहन</t>
        </is>
      </c>
      <c r="R54" s="8" t="inlineStr">
        <is>
          <t>Angkutan umum dengan layanan reguler</t>
        </is>
      </c>
      <c r="S54" s="8" t="inlineStr">
        <is>
          <t>Mezzi pubblici con servizio regolare</t>
        </is>
      </c>
      <c r="T54" s="3" t="inlineStr">
        <is>
          <t>定期運行の公共交通機関</t>
        </is>
      </c>
      <c r="U54" s="3" t="inlineStr">
        <is>
          <t>정기 운행하는 대중교통</t>
        </is>
      </c>
      <c r="V54" s="3" t="inlineStr">
        <is>
          <t>Tūnga Waka Tāone me ngā Whakaritenga Huarahi</t>
        </is>
      </c>
      <c r="W54" s="3" t="inlineStr">
        <is>
          <t>नियमित सेवा सहित सार्वजनिक यातायात</t>
        </is>
      </c>
      <c r="X54" s="44" t="inlineStr">
        <is>
          <t>حمل‌ونقل عمومی با سرویس منظم</t>
        </is>
      </c>
      <c r="Y54" s="3" t="inlineStr">
        <is>
          <t>Transporte público com serviço regular</t>
        </is>
      </c>
      <c r="Z54" s="3" t="inlineStr">
        <is>
          <t>Transportes públicos com serviço regular</t>
        </is>
      </c>
      <c r="AA54" s="3" t="inlineStr">
        <is>
          <t>Transporte público con servicio regular</t>
        </is>
      </c>
      <c r="AB54" s="3" t="inlineStr">
        <is>
          <t>Transporte público con servicio regular</t>
        </is>
      </c>
      <c r="AC54" s="3" t="inlineStr">
        <is>
          <t>வழக்கமான சேவையுடன் கூடிய பொதுப் போக்குவரத்து</t>
        </is>
      </c>
      <c r="AD54" s="3" t="inlineStr">
        <is>
          <t>การ​ขน​ส่ง​สาธารณะ​ที่​มี​บริการ​ปกติ</t>
        </is>
      </c>
      <c r="AE54" s="3" t="inlineStr">
        <is>
          <t>Düzenli hizmet veren toplu taşıma</t>
        </is>
      </c>
      <c r="AF54" s="3" t="inlineStr">
        <is>
          <t>Громадський транспорт з регулярним сполученням</t>
        </is>
      </c>
      <c r="AG54" s="3" t="inlineStr">
        <is>
          <t>Giao thông công cộng với dịch vụ thường xuyên</t>
        </is>
      </c>
    </row>
    <row r="55" ht="30" customHeight="1">
      <c r="A55" s="15" t="inlineStr">
        <is>
          <t>plot</t>
        </is>
      </c>
      <c r="B55" s="15" t="inlineStr">
        <is>
          <t>Public transport with regular service (not evaluated)</t>
        </is>
      </c>
      <c r="C55" s="9" t="inlineStr">
        <is>
          <t>Public transport with regular service (not evaluated)</t>
        </is>
      </c>
      <c r="D55" s="8" t="inlineStr">
        <is>
          <t>وسائل النقل العام مع خدمة منتظمة (لم يتم تقييمها)</t>
        </is>
      </c>
      <c r="E55" s="8" t="inlineStr">
        <is>
          <t>Transport públic amb servei regular (no avaluat)</t>
        </is>
      </c>
      <c r="F55" s="9" t="inlineStr">
        <is>
          <t>提供定期运营服务的公共交通(未评估)</t>
        </is>
      </c>
      <c r="G55" s="8" t="inlineStr">
        <is>
          <t>提供定期運營服務的公共交通(未評估)</t>
        </is>
      </c>
      <c r="H55" s="16" t="inlineStr">
        <is>
          <t>Javni prijevoz s redovnom linijom (nije ocijenjeno)</t>
        </is>
      </c>
      <c r="I55" s="8" t="inlineStr">
        <is>
          <t>Pravidelná linková doprava (nehodnoceno)</t>
        </is>
      </c>
      <c r="J55" s="16" t="inlineStr">
        <is>
          <t>Offentlig transport med regelmæssige afgange (ikke evalueret)</t>
        </is>
      </c>
      <c r="K55" s="16" t="inlineStr">
        <is>
          <t>Openbaar vervoer met regelmatige dienst (niet geëvalueerd)</t>
        </is>
      </c>
      <c r="L55" s="8" t="inlineStr">
        <is>
          <t>Julkinen liikenne säännöllisellä liikenteellä (ei arvioitu)</t>
        </is>
      </c>
      <c r="M55" s="8" t="inlineStr">
        <is>
          <t>Transports publics avec service régulier (non évalué)</t>
        </is>
      </c>
      <c r="N55" s="8" t="inlineStr">
        <is>
          <t>Öffentliche Verkehrsmittel mit Linienverkehr (nicht evaluiert)</t>
        </is>
      </c>
      <c r="O55" s="8" t="inlineStr">
        <is>
          <t>Δημόσια συγκοινωνία με τακτικά δρομολόγια (δεν έχει αξιολογηθεί)</t>
        </is>
      </c>
      <c r="P55" s="8" t="inlineStr">
        <is>
          <t>Jirgin jama'a tare da sabis na yau da kullun (ba a tantance shi ba)</t>
        </is>
      </c>
      <c r="Q55" s="8" t="inlineStr">
        <is>
          <t>नियमित सेवा वाला सार्वजनिक परिवहन (मूल्यांकन नहीं किया गया)</t>
        </is>
      </c>
      <c r="R55" s="8" t="inlineStr">
        <is>
          <t>Angkutan umum dengan layanan reguler (tidak dievaluasi)</t>
        </is>
      </c>
      <c r="S55" s="8" t="inlineStr">
        <is>
          <t>Mezzi pubblici con servizio regolare (non valutati)</t>
        </is>
      </c>
      <c r="T55" s="3" t="inlineStr">
        <is>
          <t>定期運行の公共交通機関 (未評価)</t>
        </is>
      </c>
      <c r="U55" s="3" t="inlineStr">
        <is>
          <t>정기 운행하는 대중교통 (평가되지 않음)</t>
        </is>
      </c>
      <c r="V55" s="3" t="inlineStr">
        <is>
          <t>Tūnga Waka Tāone me ngā Whakaritenga Huarahi (kāre anō kia arotakengia)</t>
        </is>
      </c>
      <c r="W55" s="3" t="inlineStr">
        <is>
          <t>नियमित सेवा सहितको सार्वजनिक यातायात (मूल्याङ्कन नगरिएको)</t>
        </is>
      </c>
      <c r="X55" s="44" t="inlineStr">
        <is>
          <t>حمل‌و‌نقل عمومی با سرویس منظم (ارزیابی نشده)</t>
        </is>
      </c>
      <c r="Y55" s="3" t="inlineStr">
        <is>
          <t>Transporte público com serviço regular (não avaliado)</t>
        </is>
      </c>
      <c r="Z55" s="3" t="inlineStr">
        <is>
          <t>Transportes públicos com serviço regular (não avaliado)</t>
        </is>
      </c>
      <c r="AA55" s="3" t="inlineStr">
        <is>
          <t>Transporte público con servicio regular (no evaluado)</t>
        </is>
      </c>
      <c r="AB55" s="3" t="inlineStr">
        <is>
          <t>Transporte público con servicio regular (no evaluado)</t>
        </is>
      </c>
      <c r="AC55" s="3" t="inlineStr">
        <is>
          <t>வழக்கமான சேவையுடன் கூடிய பொது போக்குவரத்து (மதிப்பீடு செய்யப்படவில்லை)</t>
        </is>
      </c>
      <c r="AD55" s="3" t="inlineStr">
        <is>
          <t>การ​ขน​ส่ง​สาธารณะ​ที่​มี​บริการ​ปกติ (ไม่​ได้​รับ​การ​ประเมิน)</t>
        </is>
      </c>
      <c r="AE55" s="3" t="inlineStr">
        <is>
          <t>Düzenli hizmet veren toplu taşıma (değerlendirilmedi)</t>
        </is>
      </c>
      <c r="AF55" s="3" t="inlineStr">
        <is>
          <t>Громадський транспорт з регулярним сполученням (не оцінено)</t>
        </is>
      </c>
      <c r="AG55" s="3" t="inlineStr">
        <is>
          <t>Giao thông công cộng với dịch vụ thường xuyên (Không được đánh giá)</t>
        </is>
      </c>
    </row>
    <row r="56" ht="45" customHeight="1">
      <c r="A56" s="15" t="inlineStr">
        <is>
          <t>plot</t>
        </is>
      </c>
      <c r="B56" s="15" t="inlineStr">
        <is>
          <t>Neighbourhood walkability relative to 25 cities internationally</t>
        </is>
      </c>
      <c r="C56" s="9" t="inlineStr">
        <is>
          <t>Neighbourhood walkability relative to 25 cities internationally</t>
        </is>
      </c>
      <c r="D56" s="8" t="inlineStr">
        <is>
          <t>إمكانية المشي في الحي مقارنة بـ 25 مدينة على المستوى الدولي</t>
        </is>
      </c>
      <c r="E56" s="8" t="inlineStr">
        <is>
          <t>Caminabilitat del barri en relació a les 25 ciutats</t>
        </is>
      </c>
      <c r="F56" s="9" t="inlineStr">
        <is>
          <t>相较于25个城市的社区可步行性</t>
        </is>
      </c>
      <c r="G56" s="8" t="inlineStr">
        <is>
          <t>相較於25個城市的社區可步行性</t>
        </is>
      </c>
      <c r="H56" s="16" t="inlineStr">
        <is>
          <t>Prohodnost četvrti u odnosu na 25 gradova u svijetu</t>
        </is>
      </c>
      <c r="I56" s="8" t="inlineStr">
        <is>
          <t>Podmínky pro chůzi (walkability) v okolí bydliště v porovnání s 25
městy</t>
        </is>
      </c>
      <c r="J56" s="16" t="inlineStr">
        <is>
          <t>Walkability i nærområdet sammenlignet med de 25 byer</t>
        </is>
      </c>
      <c r="K56" s="16" t="inlineStr">
        <is>
          <t>Bewegingsvriendelijkheid ("walkability") in vergelijking met 25 steden</t>
        </is>
      </c>
      <c r="L56" s="8" t="inlineStr">
        <is>
          <t>Naapuruston käveltävyys suhteessa 25:een kaupunkiin kansainvälisesti</t>
        </is>
      </c>
      <c r="M56" s="8" t="inlineStr">
        <is>
          <t>Possibilité de marcher dans un quartier par rapport à 25 villes à l'échelle internationale</t>
        </is>
      </c>
      <c r="N56" s="8" t="inlineStr">
        <is>
          <t>Begehbarkeit der Nachbarschaft im Vergleich zu 25 Städten weltweit</t>
        </is>
      </c>
      <c r="O56" s="8" t="inlineStr">
        <is>
          <t>Δυνατότητα πεζοπορίας γειτονιάς σε σχέση με 25 πόλεις διεθνώς</t>
        </is>
      </c>
      <c r="P56" s="8" t="inlineStr">
        <is>
          <t>Tafiya a unguwanni dangane da birane 25</t>
        </is>
      </c>
      <c r="Q56" s="8" t="inlineStr">
        <is>
          <t>अंतरराष्ट्रीय स्तर पर 25 शहरों के सापेक्ष पड़ोस में चलने की क्षमता</t>
        </is>
      </c>
      <c r="R56" s="8" t="inlineStr">
        <is>
          <t>Kemampuan berjalan kaki di lingkungan sekitar dibandingkan dengan 25 kota secara internasional</t>
        </is>
      </c>
      <c r="S56" s="8" t="inlineStr">
        <is>
          <t>Camminabilità del quartiere in relazione a 25 città su scala internazionale</t>
        </is>
      </c>
      <c r="T56" s="3" t="inlineStr">
        <is>
          <t>世界25都市と比較した近隣のウォーカビリティ</t>
        </is>
      </c>
      <c r="U56" s="3" t="inlineStr">
        <is>
          <t>전 세계 25개 도시 대비 연구 지역의 보행친화성</t>
        </is>
      </c>
      <c r="V56" s="3" t="inlineStr">
        <is>
          <t>Te Hīkoitanga ki rō Hāpori e whai pāngā ana ki ngā tāone e 25.</t>
        </is>
      </c>
      <c r="W56" s="3" t="inlineStr">
        <is>
          <t>अन्तर्राष्ट्रिय रूपमा 25 शहरहरू सापेक्ष छिमेकी हिड्ने क्षमता</t>
        </is>
      </c>
      <c r="X56" s="44" t="inlineStr">
        <is>
          <t>قابلیت پیاده‌پذیری محله نسبت به ۲۵ شهر در سطح بین المللی</t>
        </is>
      </c>
      <c r="Y56" s="3" t="inlineStr">
        <is>
          <t>Caminhabilidade nos bairros em relação às 25 cidades</t>
        </is>
      </c>
      <c r="Z56" s="3" t="inlineStr">
        <is>
          <t>Caminhabilidade do bairro em relação a 25 cidades</t>
        </is>
      </c>
      <c r="AA56" s="3" t="inlineStr">
        <is>
          <t xml:space="preserve">Caminabilidad a nivel vecindarios en relación con 25 ciudades a nivel internacional </t>
        </is>
      </c>
      <c r="AB56" s="3" t="inlineStr">
        <is>
          <t>Caminabilidad del barrio en relación con las 25 ciudades</t>
        </is>
      </c>
      <c r="AC56" s="3" t="inlineStr">
        <is>
          <t>25 நகரங்களுக்கு ஒப்பிடுகையில் சுற்றியுள்ள சுற்றுப்புற நடக்கக்கூடிய வசதிகள்</t>
        </is>
      </c>
      <c r="AD56" s="3" t="inlineStr">
        <is>
          <t>ความ​สามารถ​ใน​การ​เดิน​ใน​บริเวณ​ใกล้​เคียง โดย​เปรียบ​เทียบ​กับ 25 เมือง​ใน​ระดับ​สากล</t>
        </is>
      </c>
      <c r="AE56" s="3" t="inlineStr">
        <is>
          <t>Mahalle yürünebilirliği, uluslararası 25 şehre kıyasla</t>
        </is>
      </c>
      <c r="AF56" s="3" t="inlineStr">
        <is>
          <t>Доступність мікрорайону відносно 25 міст світу</t>
        </is>
      </c>
      <c r="AG56" s="3" t="inlineStr">
        <is>
          <t>Khả năng đi bộ trong khu dân cư so với 25 thành phố quốc tế</t>
        </is>
      </c>
    </row>
    <row r="57" ht="45" customHeight="1">
      <c r="A57" s="15" t="inlineStr">
        <is>
          <t>plot</t>
        </is>
      </c>
      <c r="B57" s="15" t="inlineStr">
        <is>
          <t>Low</t>
        </is>
      </c>
      <c r="C57" s="9" t="inlineStr">
        <is>
          <t>Low</t>
        </is>
      </c>
      <c r="D57" s="8" t="inlineStr">
        <is>
          <t>قليل</t>
        </is>
      </c>
      <c r="E57" s="8" t="inlineStr">
        <is>
          <t>Baixa</t>
        </is>
      </c>
      <c r="F57" s="9" t="inlineStr">
        <is>
          <t>低</t>
        </is>
      </c>
      <c r="G57" s="8" t="inlineStr">
        <is>
          <t>低</t>
        </is>
      </c>
      <c r="H57" s="16" t="inlineStr">
        <is>
          <t>Niska</t>
        </is>
      </c>
      <c r="I57" s="8" t="inlineStr">
        <is>
          <t>Nevhodné</t>
        </is>
      </c>
      <c r="J57" s="16" t="inlineStr">
        <is>
          <t>Lav</t>
        </is>
      </c>
      <c r="K57" s="16" t="inlineStr">
        <is>
          <t>Laag</t>
        </is>
      </c>
      <c r="L57" s="8" t="inlineStr">
        <is>
          <t>Matala</t>
        </is>
      </c>
      <c r="M57" s="8" t="inlineStr">
        <is>
          <t>Faible</t>
        </is>
      </c>
      <c r="N57" s="8" t="inlineStr">
        <is>
          <t>Niedrig</t>
        </is>
      </c>
      <c r="O57" s="8" t="inlineStr">
        <is>
          <t>Χαμηλός</t>
        </is>
      </c>
      <c r="P57" s="8" t="inlineStr">
        <is>
          <t>Ƙananan</t>
        </is>
      </c>
      <c r="Q57" s="8" t="inlineStr">
        <is>
          <t>कम</t>
        </is>
      </c>
      <c r="R57" s="8" t="inlineStr">
        <is>
          <t>Rendah</t>
        </is>
      </c>
      <c r="S57" s="8" t="inlineStr">
        <is>
          <t>Basso</t>
        </is>
      </c>
      <c r="T57" s="3" t="inlineStr">
        <is>
          <t>低い</t>
        </is>
      </c>
      <c r="U57" s="3" t="inlineStr">
        <is>
          <t>낮음</t>
        </is>
      </c>
      <c r="V57" s="3" t="inlineStr">
        <is>
          <t>Iti</t>
        </is>
      </c>
      <c r="W57" s="3" t="inlineStr">
        <is>
          <t>कम</t>
        </is>
      </c>
      <c r="X57" s="44" t="inlineStr">
        <is>
          <t>کم</t>
        </is>
      </c>
      <c r="Y57" s="3" t="inlineStr">
        <is>
          <t>Baixa</t>
        </is>
      </c>
      <c r="Z57" s="3" t="inlineStr">
        <is>
          <t>Baixo</t>
        </is>
      </c>
      <c r="AA57" s="3" t="inlineStr">
        <is>
          <t>Baja</t>
        </is>
      </c>
      <c r="AB57" s="3" t="inlineStr">
        <is>
          <t>Baja</t>
        </is>
      </c>
      <c r="AC57" s="3" t="inlineStr">
        <is>
          <t>தாழ்வானது</t>
        </is>
      </c>
      <c r="AD57" s="3" t="inlineStr">
        <is>
          <t>ต่ำ</t>
        </is>
      </c>
      <c r="AE57" s="3" t="inlineStr">
        <is>
          <t>Düşük</t>
        </is>
      </c>
      <c r="AF57" s="3" t="inlineStr">
        <is>
          <t>Низький</t>
        </is>
      </c>
      <c r="AG57" s="3" t="inlineStr">
        <is>
          <t>Thấp</t>
        </is>
      </c>
    </row>
    <row r="58">
      <c r="A58" s="15" t="inlineStr">
        <is>
          <t>plot</t>
        </is>
      </c>
      <c r="B58" s="15" t="inlineStr">
        <is>
          <t>Average</t>
        </is>
      </c>
      <c r="C58" s="9" t="inlineStr">
        <is>
          <t>Average</t>
        </is>
      </c>
      <c r="D58" s="8" t="inlineStr">
        <is>
          <t>متوسط</t>
        </is>
      </c>
      <c r="E58" s="8" t="inlineStr">
        <is>
          <t>Mitjana</t>
        </is>
      </c>
      <c r="F58" s="9" t="inlineStr">
        <is>
          <t>中</t>
        </is>
      </c>
      <c r="G58" s="8" t="inlineStr">
        <is>
          <t>中</t>
        </is>
      </c>
      <c r="H58" s="16" t="inlineStr">
        <is>
          <t>Prosjek</t>
        </is>
      </c>
      <c r="I58" s="8" t="inlineStr">
        <is>
          <t>Průměrné</t>
        </is>
      </c>
      <c r="J58" s="16" t="inlineStr">
        <is>
          <t>Middel</t>
        </is>
      </c>
      <c r="K58" s="16" t="inlineStr">
        <is>
          <t>Gemiddeld</t>
        </is>
      </c>
      <c r="L58" s="8" t="inlineStr">
        <is>
          <t>Keskiverto</t>
        </is>
      </c>
      <c r="M58" s="8" t="inlineStr">
        <is>
          <t>Moyenne</t>
        </is>
      </c>
      <c r="N58" s="8" t="inlineStr">
        <is>
          <t>Durchschnitt</t>
        </is>
      </c>
      <c r="O58" s="8" t="inlineStr">
        <is>
          <t>Μέση τιμή</t>
        </is>
      </c>
      <c r="P58" s="8" t="inlineStr">
        <is>
          <t>Matsakaicin</t>
        </is>
      </c>
      <c r="Q58" s="8" t="inlineStr">
        <is>
          <t>औसत</t>
        </is>
      </c>
      <c r="R58" s="8" t="inlineStr">
        <is>
          <t>Rata-rata</t>
        </is>
      </c>
      <c r="S58" s="8" t="inlineStr">
        <is>
          <t>Medio</t>
        </is>
      </c>
      <c r="T58" s="3" t="inlineStr">
        <is>
          <t>平均</t>
        </is>
      </c>
      <c r="U58" s="3" t="inlineStr">
        <is>
          <t>평균</t>
        </is>
      </c>
      <c r="V58" s="3" t="inlineStr">
        <is>
          <t>Toharite</t>
        </is>
      </c>
      <c r="W58" s="3" t="inlineStr">
        <is>
          <t>औसत</t>
        </is>
      </c>
      <c r="X58" s="44" t="inlineStr">
        <is>
          <t>متوسط</t>
        </is>
      </c>
      <c r="Y58" s="3" t="inlineStr">
        <is>
          <t>Média</t>
        </is>
      </c>
      <c r="Z58" s="3" t="inlineStr">
        <is>
          <t>Médio</t>
        </is>
      </c>
      <c r="AA58" s="3" t="inlineStr">
        <is>
          <t>Media</t>
        </is>
      </c>
      <c r="AB58" s="3" t="inlineStr">
        <is>
          <t>Media</t>
        </is>
      </c>
      <c r="AC58" s="3" t="inlineStr">
        <is>
          <t>நிரலளவு</t>
        </is>
      </c>
      <c r="AD58" s="3" t="inlineStr">
        <is>
          <t>เฉลี่ย</t>
        </is>
      </c>
      <c r="AE58" s="3" t="inlineStr">
        <is>
          <t>Ortalama</t>
        </is>
      </c>
      <c r="AF58" s="3" t="inlineStr">
        <is>
          <t>Середній</t>
        </is>
      </c>
      <c r="AG58" s="3" t="inlineStr">
        <is>
          <t>Trung bình</t>
        </is>
      </c>
    </row>
    <row r="59">
      <c r="A59" s="15" t="inlineStr">
        <is>
          <t>plot</t>
        </is>
      </c>
      <c r="B59" s="15" t="inlineStr">
        <is>
          <t>High</t>
        </is>
      </c>
      <c r="C59" s="9" t="inlineStr">
        <is>
          <t>High</t>
        </is>
      </c>
      <c r="D59" s="8" t="inlineStr">
        <is>
          <t>عالي</t>
        </is>
      </c>
      <c r="E59" s="8" t="inlineStr">
        <is>
          <t>Alta</t>
        </is>
      </c>
      <c r="F59" s="9" t="inlineStr">
        <is>
          <t>高</t>
        </is>
      </c>
      <c r="G59" s="8" t="inlineStr">
        <is>
          <t>高</t>
        </is>
      </c>
      <c r="H59" s="16" t="inlineStr">
        <is>
          <t>visoko</t>
        </is>
      </c>
      <c r="I59" s="8" t="inlineStr">
        <is>
          <t>Vhodné</t>
        </is>
      </c>
      <c r="J59" s="16" t="inlineStr">
        <is>
          <t>Høj</t>
        </is>
      </c>
      <c r="K59" s="16" t="inlineStr">
        <is>
          <t>Hoog</t>
        </is>
      </c>
      <c r="L59" s="8" t="inlineStr">
        <is>
          <t>Korkea</t>
        </is>
      </c>
      <c r="M59" s="8" t="inlineStr">
        <is>
          <t>Haut</t>
        </is>
      </c>
      <c r="N59" s="8" t="inlineStr">
        <is>
          <t>Hoch</t>
        </is>
      </c>
      <c r="O59" s="8" t="inlineStr">
        <is>
          <t>Υψηλός</t>
        </is>
      </c>
      <c r="P59" s="8" t="inlineStr">
        <is>
          <t>Babban</t>
        </is>
      </c>
      <c r="Q59" s="8" t="inlineStr">
        <is>
          <t>उच्च</t>
        </is>
      </c>
      <c r="R59" s="8" t="inlineStr">
        <is>
          <t>Tinggi</t>
        </is>
      </c>
      <c r="S59" s="8" t="inlineStr">
        <is>
          <t>Alto</t>
        </is>
      </c>
      <c r="T59" s="3" t="inlineStr">
        <is>
          <t>高い</t>
        </is>
      </c>
      <c r="U59" s="3" t="inlineStr">
        <is>
          <t>높음</t>
        </is>
      </c>
      <c r="V59" s="3" t="inlineStr">
        <is>
          <t>Tiketike</t>
        </is>
      </c>
      <c r="W59" s="3" t="inlineStr">
        <is>
          <t>उच्च</t>
        </is>
      </c>
      <c r="X59" s="44" t="inlineStr">
        <is>
          <t>زیاد</t>
        </is>
      </c>
      <c r="Y59" s="3" t="inlineStr">
        <is>
          <t>Alta</t>
        </is>
      </c>
      <c r="Z59" s="3" t="inlineStr">
        <is>
          <t>Alto</t>
        </is>
      </c>
      <c r="AA59" s="3" t="inlineStr">
        <is>
          <t>Alta</t>
        </is>
      </c>
      <c r="AB59" s="3" t="inlineStr">
        <is>
          <t>Alta</t>
        </is>
      </c>
      <c r="AC59" s="3" t="inlineStr">
        <is>
          <t>உயரிடம்</t>
        </is>
      </c>
      <c r="AD59" s="3" t="inlineStr">
        <is>
          <t>สูง</t>
        </is>
      </c>
      <c r="AE59" s="3" t="inlineStr">
        <is>
          <t>Yüksek</t>
        </is>
      </c>
      <c r="AF59" s="3" t="inlineStr">
        <is>
          <t>Високий</t>
        </is>
      </c>
      <c r="AG59" s="3" t="inlineStr">
        <is>
          <t>Cao</t>
        </is>
      </c>
    </row>
    <row r="60">
      <c r="A60" s="15" t="inlineStr">
        <is>
          <t>plot</t>
        </is>
      </c>
      <c r="B60" s="15" t="inlineStr">
        <is>
          <t>No</t>
        </is>
      </c>
      <c r="C60" s="9" t="inlineStr">
        <is>
          <t>No</t>
        </is>
      </c>
      <c r="D60" s="8" t="inlineStr">
        <is>
          <t>لا</t>
        </is>
      </c>
      <c r="E60" s="8" t="inlineStr">
        <is>
          <t>No</t>
        </is>
      </c>
      <c r="F60" s="9" t="inlineStr">
        <is>
          <t>不</t>
        </is>
      </c>
      <c r="G60" s="8" t="inlineStr">
        <is>
          <t>不</t>
        </is>
      </c>
      <c r="H60" s="16" t="inlineStr">
        <is>
          <t>Ne</t>
        </is>
      </c>
      <c r="I60" s="8" t="inlineStr">
        <is>
          <t>Ne</t>
        </is>
      </c>
      <c r="J60" s="16" t="inlineStr">
        <is>
          <t>Ingen</t>
        </is>
      </c>
      <c r="K60" s="16" t="inlineStr">
        <is>
          <t>Nee</t>
        </is>
      </c>
      <c r="L60" s="8" t="inlineStr">
        <is>
          <t>Ei</t>
        </is>
      </c>
      <c r="M60" s="8" t="inlineStr">
        <is>
          <t>Non</t>
        </is>
      </c>
      <c r="N60" s="8" t="inlineStr">
        <is>
          <t>Nein</t>
        </is>
      </c>
      <c r="O60" s="8" t="inlineStr">
        <is>
          <t>Οχι</t>
        </is>
      </c>
      <c r="P60" s="8" t="inlineStr">
        <is>
          <t>A'a</t>
        </is>
      </c>
      <c r="Q60" s="8" t="inlineStr">
        <is>
          <t>नहीं</t>
        </is>
      </c>
      <c r="R60" s="8" t="inlineStr">
        <is>
          <t>TIDAK</t>
        </is>
      </c>
      <c r="S60" s="8" t="inlineStr">
        <is>
          <t>No</t>
        </is>
      </c>
      <c r="T60" s="3" t="inlineStr">
        <is>
          <t>いいえ</t>
        </is>
      </c>
      <c r="U60" s="3" t="inlineStr">
        <is>
          <t>아니요</t>
        </is>
      </c>
      <c r="V60" s="3" t="inlineStr">
        <is>
          <t>Kao</t>
        </is>
      </c>
      <c r="W60" s="3" t="inlineStr">
        <is>
          <t>छैन</t>
        </is>
      </c>
      <c r="X60" s="44" t="inlineStr">
        <is>
          <t>خیر</t>
        </is>
      </c>
      <c r="Y60" s="3" t="inlineStr">
        <is>
          <t>Não</t>
        </is>
      </c>
      <c r="Z60" s="3" t="inlineStr">
        <is>
          <t>Não</t>
        </is>
      </c>
      <c r="AA60" s="3" t="inlineStr">
        <is>
          <t>No</t>
        </is>
      </c>
      <c r="AB60" s="3" t="inlineStr">
        <is>
          <t>No</t>
        </is>
      </c>
      <c r="AC60" s="3" t="inlineStr">
        <is>
          <t>இல்லை</t>
        </is>
      </c>
      <c r="AD60" s="3" t="inlineStr">
        <is>
          <t>ไม่​ใช่</t>
        </is>
      </c>
      <c r="AE60" s="3" t="inlineStr">
        <is>
          <t>Hayır</t>
        </is>
      </c>
      <c r="AF60" s="3" t="inlineStr">
        <is>
          <t>Немає</t>
        </is>
      </c>
      <c r="AG60" s="3" t="inlineStr">
        <is>
          <t>KHÔNG</t>
        </is>
      </c>
    </row>
    <row r="61">
      <c r="A61" s="15" t="inlineStr">
        <is>
          <t>plot</t>
        </is>
      </c>
      <c r="B61" s="15" t="inlineStr">
        <is>
          <t>Yes</t>
        </is>
      </c>
      <c r="C61" s="9" t="inlineStr">
        <is>
          <t>Yes</t>
        </is>
      </c>
      <c r="D61" s="8" t="inlineStr">
        <is>
          <t>نعم</t>
        </is>
      </c>
      <c r="E61" s="8" t="inlineStr">
        <is>
          <t>Sí</t>
        </is>
      </c>
      <c r="F61" s="9" t="inlineStr">
        <is>
          <t>是的</t>
        </is>
      </c>
      <c r="G61" s="8" t="inlineStr">
        <is>
          <t>是的</t>
        </is>
      </c>
      <c r="H61" s="16" t="inlineStr">
        <is>
          <t>Da</t>
        </is>
      </c>
      <c r="I61" s="8" t="inlineStr">
        <is>
          <t>Ano</t>
        </is>
      </c>
      <c r="J61" s="16" t="inlineStr">
        <is>
          <t>Ja</t>
        </is>
      </c>
      <c r="K61" s="16" t="inlineStr">
        <is>
          <t>Ja</t>
        </is>
      </c>
      <c r="L61" s="8" t="inlineStr">
        <is>
          <t>Kyllä</t>
        </is>
      </c>
      <c r="M61" s="8" t="inlineStr">
        <is>
          <t>Oui</t>
        </is>
      </c>
      <c r="N61" s="8" t="inlineStr">
        <is>
          <t>Ja</t>
        </is>
      </c>
      <c r="O61" s="8" t="inlineStr">
        <is>
          <t>Ναί</t>
        </is>
      </c>
      <c r="P61" s="8" t="inlineStr">
        <is>
          <t>Ee</t>
        </is>
      </c>
      <c r="Q61" s="8" t="inlineStr">
        <is>
          <t>हाँ</t>
        </is>
      </c>
      <c r="R61" s="8" t="inlineStr">
        <is>
          <t>Ya</t>
        </is>
      </c>
      <c r="S61" s="8" t="inlineStr">
        <is>
          <t>Sì</t>
        </is>
      </c>
      <c r="T61" s="3" t="inlineStr">
        <is>
          <t>はい</t>
        </is>
      </c>
      <c r="U61" s="3" t="inlineStr">
        <is>
          <t>예</t>
        </is>
      </c>
      <c r="V61" s="3" t="inlineStr">
        <is>
          <t>Ae</t>
        </is>
      </c>
      <c r="W61" s="3" t="inlineStr">
        <is>
          <t>हो</t>
        </is>
      </c>
      <c r="X61" s="44" t="inlineStr">
        <is>
          <t>آری</t>
        </is>
      </c>
      <c r="Y61" s="3" t="inlineStr">
        <is>
          <t>Sim</t>
        </is>
      </c>
      <c r="Z61" s="3" t="inlineStr">
        <is>
          <t>Sim</t>
        </is>
      </c>
      <c r="AA61" s="3" t="inlineStr">
        <is>
          <t>Sí</t>
        </is>
      </c>
      <c r="AB61" s="3" t="inlineStr">
        <is>
          <t>Sí</t>
        </is>
      </c>
      <c r="AC61" s="3" t="inlineStr">
        <is>
          <t>ஆம்</t>
        </is>
      </c>
      <c r="AD61" s="3" t="inlineStr">
        <is>
          <t>ใช่</t>
        </is>
      </c>
      <c r="AE61" s="3" t="inlineStr">
        <is>
          <t>Evet</t>
        </is>
      </c>
      <c r="AF61" s="3" t="inlineStr">
        <is>
          <t>Так</t>
        </is>
      </c>
      <c r="AG61" s="3" t="inlineStr">
        <is>
          <t>Đúng (Có)</t>
        </is>
      </c>
    </row>
    <row r="62">
      <c r="A62" s="15" t="inlineStr">
        <is>
          <t>plot</t>
        </is>
      </c>
      <c r="B62" s="15" t="inlineStr">
        <is>
          <t>Percentage of population with access to public transport</t>
        </is>
      </c>
      <c r="C62" s="9" t="inlineStr">
        <is>
          <t>{percent} of the population in {city_name} live within 400m of public transport</t>
        </is>
      </c>
      <c r="D62" s="8" t="inlineStr">
        <is>
          <t>يعيش {percent} من السكان في {city_name} على بعد 500 متر من وسائل النقل العام</t>
        </is>
      </c>
      <c r="E62" s="8" t="inlineStr">
        <is>
          <t>El {percent} de la població de {city_name} viu a menys de 500 m del transport públic</t>
        </is>
      </c>
      <c r="F62" s="9" t="inlineStr">
        <is>
          <t>{city_name} 的 {percent} 人口居住在公共交通 500m 范围内</t>
        </is>
      </c>
      <c r="G62" s="8" t="inlineStr">
        <is>
          <t>{city_name} 的 {percent} 人口居住在公共交通 500m 範圍內</t>
        </is>
      </c>
      <c r="H62" s="16" t="inlineStr">
        <is>
          <t>{percent} stanovništva u gradu {city_name} živi unutar 500 m od javnog prijevoza</t>
        </is>
      </c>
      <c r="I62" s="8" t="inlineStr">
        <is>
          <t>{percent} populace v {city_name} žije do 500 metrů od veřejné dopravy</t>
        </is>
      </c>
      <c r="J62" s="16" t="inlineStr">
        <is>
          <t>{percent} af befolkningen i {city_name} bor inden for 500 m fra offentlig transport</t>
        </is>
      </c>
      <c r="K62" s="16" t="inlineStr">
        <is>
          <t>{percent} van de bevolking in {city_name} woont binnen 500 meter van het openbaar vervoer</t>
        </is>
      </c>
      <c r="L62" s="8" t="inlineStr">
        <is>
          <t>{city_name}: {percent} asukkaista asuu 500 metrin säteellä joukkoliikenteen palveluista</t>
        </is>
      </c>
      <c r="M62" s="8" t="inlineStr">
        <is>
          <t>{percent} de la population de {city_name} vit à moins de 500 m des transports en commun</t>
        </is>
      </c>
      <c r="N62" s="8" t="inlineStr">
        <is>
          <t>{percent} der Bevölkerung in {city_name} leben im Umkreis von 500 m um öffentliche Verkehrsmittel</t>
        </is>
      </c>
      <c r="O62" s="8" t="inlineStr">
        <is>
          <t>Το {percent} του πληθυσμού στο {city_name} ζει σε απόσταση 500 μέτρων από τα μέσα μαζικής μεταφοράς</t>
        </is>
      </c>
      <c r="P62" s="8" t="inlineStr">
        <is>
          <t>{percent} na yawan jama'a a cikin {city_name} suna rayuwa tsakanin 500m na jigilar jama'a</t>
        </is>
      </c>
      <c r="Q62" s="8" t="inlineStr">
        <is>
          <t>{city_name} की {percent} आबादी सार्वजनिक परिवहन के 500 मीटर के दायरे में रहती है</t>
        </is>
      </c>
      <c r="R62" s="8" t="inlineStr">
        <is>
          <t>{percent} populasi di {city_name} tinggal dalam jarak 500 m dari transportasi umum</t>
        </is>
      </c>
      <c r="S62" s="8" t="inlineStr">
        <is>
          <t>Il {percent} della popolazione di {city_name} vive entro 500 metri dai trasporti pubblici</t>
        </is>
      </c>
      <c r="T62" s="3" t="inlineStr">
        <is>
          <t>{city_name}の人口の{percent}が公共交通機関から500メートル以内に住んでいます</t>
        </is>
      </c>
      <c r="U62" s="3" t="inlineStr">
        <is>
          <t>{city_name} 인구의 {percent}가 대중교통 시설로부터 500m 이내에 거주합니다.</t>
        </is>
      </c>
      <c r="V62" s="3" t="inlineStr">
        <is>
          <t>{percent} o te taupori o {city_name} e noho ana i roto i te 500m o te waka tūmatanui</t>
        </is>
      </c>
      <c r="W62" s="3" t="inlineStr">
        <is>
          <t>{city_name} को जनसंख्याको {percent} सार्वजनिक यातायातको ५०० मिटर भित्र बस्छन्</t>
        </is>
      </c>
      <c r="X62" s="44" t="inlineStr">
        <is>
          <t>{percent} از جمعیت در {city_name} در فاصله ۵۰۰ متری حمل‌ونقل عمومی زندگی می‌کنند</t>
        </is>
      </c>
      <c r="Y62" s="3" t="inlineStr">
        <is>
          <t>{percent} da população de {city_name} que vive a menos de 500 metros de transporte público</t>
        </is>
      </c>
      <c r="Z62" s="3" t="inlineStr">
        <is>
          <t>{percent} da população de {city_name} vive a menos de 500 metros de transporte público</t>
        </is>
      </c>
      <c r="AA62" s="3" t="inlineStr">
        <is>
          <t>El {percent} de la población de {city_name} vive a menos de 500 metros del transporte público.</t>
        </is>
      </c>
      <c r="AB62" s="3" t="inlineStr">
        <is>
          <t>El {percent} de la población de {city_name} vive a menos de 500 metros del transporte público.</t>
        </is>
      </c>
      <c r="AC62" s="3" t="inlineStr">
        <is>
          <t>{city_name} இல் உள்ள மக்கள்தொகையில் {percent} பேர் 500மீ பொதுப் போக்குவரத்தில் வாழ்கின்றனர்</t>
        </is>
      </c>
      <c r="AD62" s="3" t="inlineStr">
        <is>
          <t>{percent} ของ​ประชากร​ใน {city_name} อาศัย​อยู่​ใน​ระยะ 500 ม. จาก​ระบบ​ขน​ส่ง​สาธารณะ</t>
        </is>
      </c>
      <c r="AE62" s="3" t="inlineStr">
        <is>
          <t>{city_name} nüfusunun {percent} kadarı, toplu taşımaya 500 metre mesafede yaşamaktadır</t>
        </is>
      </c>
      <c r="AF62" s="3" t="inlineStr">
        <is>
          <t>{percent} населення міста {city_name} проживає в межах 500 метрів від громадського транспорту</t>
        </is>
      </c>
      <c r="AG62" s="3" t="inlineStr">
        <is>
          <t>{percent} dân số ở {city_name} sống trong phạm vi 500m tới giao thông công cộng</t>
        </is>
      </c>
    </row>
    <row r="63" ht="60" customHeight="1">
      <c r="A63" s="15" t="inlineStr">
        <is>
          <t>plot</t>
        </is>
      </c>
      <c r="B63" s="15" t="inlineStr">
        <is>
          <t>Percentage of population with access to public transport with service frequency of 20 minutes or less</t>
        </is>
      </c>
      <c r="C63" s="9" t="inlineStr">
        <is>
          <t>{percent} of the population in {city_name} live within 400m of public transport with 20 mins or better average weekday frequency</t>
        </is>
      </c>
      <c r="D63" s="8" t="inlineStr">
        <is>
          <t>يعيش {percent} من السكان في {city_name} ضمن مسافة 500 متر من وسائل النقل العام مع 20 دقيقة أو متوسط تردد أفضل خلال أيام الأسبوع</t>
        </is>
      </c>
      <c r="E63" s="8" t="inlineStr">
        <is>
          <t>El {percent} de la població de {city_name} viu a menys de 500 m del transport públic amb una freqüència mitjana de 20 minuts o més entre setmana</t>
        </is>
      </c>
      <c r="F63" s="9" t="inlineStr">
        <is>
          <t>{city_name} 的 {percent} 人口居住在公共交通 500m 范围内，工作日平均发车频率为 20 分钟或更短</t>
        </is>
      </c>
      <c r="G63" s="8" t="inlineStr">
        <is>
          <t>{city_name} 的 {percent} 人口居住在公共交通 500m 範圍內，工作日平均發車頻率為 20 分鐘或更短</t>
        </is>
      </c>
      <c r="H63" s="16" t="inlineStr">
        <is>
          <t>{percent} stanovništva u gradu {city_name} živi unutar 500 m od javnog prijevoza s prosječnom učestalošću radnim danom od 20 minuta ili bolje</t>
        </is>
      </c>
      <c r="I63" s="8" t="inlineStr">
        <is>
          <t>{percent} populace ve městě {city_name} žije do 500 m od veřejné dopravy s průměrnou frekvencí 20 minut nebo lepší v pracovní dny</t>
        </is>
      </c>
      <c r="J63" s="16" t="inlineStr">
        <is>
          <t>{percent} af befolkningen i {city_name} bor inden for 500 m fra offentlig transport med 20 minutter eller bedre gennemsnitlig hverdagsfrekvens</t>
        </is>
      </c>
      <c r="K63" s="16" t="inlineStr">
        <is>
          <t>{percent} van de bevolking in {city_name} woont binnen 500 meter van het openbaar vervoer met een gemiddelde frequentie op weekdagen van 20 minuten of beter</t>
        </is>
      </c>
      <c r="L63" s="8" t="inlineStr">
        <is>
          <t>{city_name}: {percent} asukkaista asuu 500 metrin säteellä joukkoliikenteen palveluista, joiden keskimääräinen vuoroväli on arkipäivisin enintään 20 minuuttia</t>
        </is>
      </c>
      <c r="M63" s="8" t="inlineStr">
        <is>
          <t>{percent} de la population de {city_name} vit à moins de 500 m des transports en commun dont la fréquence moyenne en semaine est de 20 minutes ou plus.</t>
        </is>
      </c>
      <c r="N63" s="8" t="inlineStr">
        <is>
          <t>{percent} der Bevölkerung in {city_name} leben im Umkreis von 500 m um öffentliche Verkehrsmittel mit einer durchschnittlichen Taktfrequenz von 20 Minuten oder mehr an Wochentagen</t>
        </is>
      </c>
      <c r="O63" s="8" t="inlineStr">
        <is>
          <t>Το {percent} του πληθυσμού στο {city_name} ζει σε απόσταση 500 μέτρων από τα μέσα μαζικής μεταφοράς με 20 λεπτά ή καλύτερη μέση συχνότητα τις καθημερινές</t>
        </is>
      </c>
      <c r="P63" s="8" t="inlineStr">
        <is>
          <t>{percent} na yawan jama'a a cikin {city_name} suna rayuwa tsakanin 500m na jigilar jama'a tare da mintuna 20 ko mafi kyawun mitar ranar mako</t>
        </is>
      </c>
      <c r="Q63" s="8" t="inlineStr">
        <is>
          <t>{city_name} में जनसंख्या का {percent} 20 मिनट या बेहतर औसत कार्यदिवस आवृत्ति के साथ सार्वजनिक परिवहन के 500 मीटर के भीतर रहता है</t>
        </is>
      </c>
      <c r="R63" s="8" t="inlineStr">
        <is>
          <t>{percent} populasi di {city_name} tinggal dalam jarak 500 m dari transportasi umum dengan frekuensi rata-rata hari kerja selama 20 menit atau lebih baik</t>
        </is>
      </c>
      <c r="S63" s="8" t="inlineStr">
        <is>
          <t>Il {percent} della popolazione di {city_name} vive entro 500 metri da trasporti pubblici con una frequenza media nei giorni feriali di 20 minuti o migliore</t>
        </is>
      </c>
      <c r="T63" s="3" t="inlineStr">
        <is>
          <t>{city_name}の人口の{percent}が、平日の平均運行頻度20分以内の公共交通機関から500メートル以内に住んでいます</t>
        </is>
      </c>
      <c r="U63" s="3" t="inlineStr">
        <is>
          <t>{city_name} 인구의 {percent}가 평일 평균 20분 혹은 더 잦은 빈도의 대중교통으로부터 500m 이내에 거주합니다.</t>
        </is>
      </c>
      <c r="V63" s="3" t="inlineStr">
        <is>
          <t>{percent} o te taupori o {city_name} e noho ana i roto i te 500m mai i nga waka tūmatanui me te 20 meneti, pai ake ranei te auau o ia ra wiki</t>
        </is>
      </c>
      <c r="W63" s="3" t="inlineStr">
        <is>
          <t>{city_name} मा जनसङ्ख्याको {percent} २० मिनेट वा राम्रो औसत साप्ताहिक फ्रिक्वेन्सीको साथ सार्वजनिक यातायातको ५०० मिटर भित्र बस्छन्</t>
        </is>
      </c>
      <c r="X63" s="44" t="inlineStr">
        <is>
          <t>{percent} از جمعیت در {city_name} در فاصله ۵۰۰ متری حمل‌ونقل عمومی که به طور متوسط در روزهای هفته هر ۲۰ دقیقه یا کمتر خدمات ارائه می‌دهد.</t>
        </is>
      </c>
      <c r="Y63" s="3" t="inlineStr">
        <is>
          <t>{percent} da população de {city_name} que vive a menos de 500 m de transporte público com frequência média de 20 minutos ou mais durante a semana</t>
        </is>
      </c>
      <c r="Z63" s="3" t="inlineStr">
        <is>
          <t>{percent} da população de {city_name} vive a menos de 500 m de transporte público, com frequência média de 20 minutos ou melhor durante a semana</t>
        </is>
      </c>
      <c r="AA63" s="3" t="inlineStr">
        <is>
          <t>El {percent} de la población de {city_name} vive a menos de 500 m de transporte público con una frecuencia de llegada promedio de 20 minutos o más entre semana</t>
        </is>
      </c>
      <c r="AB63" s="3" t="inlineStr">
        <is>
          <t>El {percent} de la población de {city_name} vive a menos de 500 m del transporte público con una frecuencia promedio de 20 minutos o menos en días laborables.</t>
        </is>
      </c>
      <c r="AC63" s="3" t="inlineStr">
        <is>
          <t>{city_name} இல் உள்ள மக்கள் தொகையில் {percent} பேர் 500m பொதுப் போக்குவரத்தில் 20 நிமிடங்கள் அல்லது சிறந்த சராசரி வார நாள் அதிர்வெண்ணுடன் வாழ்கின்றனர்</t>
        </is>
      </c>
      <c r="AD63" s="3" t="inlineStr">
        <is>
          <t>{percent} ของ​ประชากร​ใน {city_name} อาศัย​อยู่​ใน​ระยะ 500 เมตร​จาก​ระบบ​ขน​ส่ง​สาธารณะ โดย​มี​ความ​ถี่​เฉลี่ย​ใน​วัน​ธรรมดา 20 นาที​หรือ​ดี​กว่า​นั้น</t>
        </is>
      </c>
      <c r="AE63" s="3" t="inlineStr">
        <is>
          <t>{city_name} nüfusunun {percent} kadarı, 500 metre mesafede bulunan ve hafta içi ortalama en az 20 dakikada bir sıklıkta hizmet veren toplu taşıma imkanına sahip</t>
        </is>
      </c>
      <c r="AF63" s="3" t="inlineStr">
        <is>
          <t>{percent} населення міста {city_name} живе в радіусі 500 метрів від громадського транспорту, середня частота якого становить 20 хвилин або більше</t>
        </is>
      </c>
      <c r="AG63" s="3" t="inlineStr">
        <is>
          <t>{percent} dân số ở {city_name} sống trong phạm vi 500m tới giao thông công cộng với tần suất hoạt động trung bình các ngày trong tuần là 20 phút một chuyến hoặc cao hơn</t>
        </is>
      </c>
    </row>
    <row r="64" ht="75" customHeight="1">
      <c r="A64" s="15" t="inlineStr">
        <is>
          <t>plot</t>
        </is>
      </c>
      <c r="B64" s="15" t="inlineStr">
        <is>
          <t>optimal_range - Mean 1000 m neighbourhood population per km²</t>
        </is>
      </c>
      <c r="C64" s="9" t="inlineStr">
        <is>
          <t>{percent} of the population in {city_name} live in neighbourhoods meeting the population density threshold for 80% probability of engaging in any walking for transport ({n} people {per_unit})</t>
        </is>
      </c>
      <c r="D64" s="8" t="inlineStr">
        <is>
          <t>يعيش {percent} من السكان في {city_name} في أحياء تستوفي حد الكثافة السكانية بنسبة 80% مع احتمال المشاركة في أي مشي بغرض النقل ({n} من الأشخاص {per_unit})</t>
        </is>
      </c>
      <c r="E64" s="8" t="inlineStr">
        <is>
          <t>El {percent} de la població de {city_name} viu en barris que compleixen el llindar de densitat de població amb un 80% de probabilitat de caminar com a mitjà de transport ({n} persones {per_unit})</t>
        </is>
      </c>
      <c r="F64" s="9" t="inlineStr">
        <is>
          <t>{city_name} 中有 {percent} 的人口居住在满足80%步行交通出行概率的人口密度阈值（{n} 人 {per_unit} ）的社区</t>
        </is>
      </c>
      <c r="G64" s="8" t="inlineStr">
        <is>
          <t>{city_name} 中有 {percent} 的人口居住在滿足80%步行交通出行概率的人口密度閾值（{n} 人 {per_unit}）的社區</t>
        </is>
      </c>
      <c r="H64" s="16" t="inlineStr">
        <is>
          <t>{percent} stanovništva u gradu {city_name} živi u četvrtima koje zadovoljavaju prag gustoće naseljenosti za 80% vjerojatnosti pješačenja radi prijevoza ({n} ljudi {per_unit})</t>
        </is>
      </c>
      <c r="I64" s="8" t="inlineStr">
        <is>
          <t>{percent} populace v {city_name} žije ve čtvrtích, které splňují práh hustoty zalidnění pro 80% pravděpodobnost, že se zapojí do jakékoli pěší dopravy ({n} lidí {per_unit})</t>
        </is>
      </c>
      <c r="J64" s="16" t="inlineStr">
        <is>
          <t>{percent} af befolkningen i {city_name} bor i kvarterer, der opfylder tærsklen for befolkningstæthed for 80 % sandsynlighed for at deltage i enhver vandring for at transportere ({n} personer {per_unit})</t>
        </is>
      </c>
      <c r="K64" s="16" t="inlineStr">
        <is>
          <t>{percent} van de bevolking in {city_name} woont in wijken die voldoen aan de bevolkingsdichtheidsdrempel voor een kans van 80% om deel te nemen aan wandelen voor transport ({n} mensen {per_unit})</t>
        </is>
      </c>
      <c r="L64" s="8" t="inlineStr">
        <is>
          <t>{city_name}: {percent} asukkaista asuu kaupunginosissa, jotka täyttävät väestötiheyden kynnysarvon eli 80 %:n todennäköisyys liikkua kävellen ({n} ihmistä {per_unit})</t>
        </is>
      </c>
      <c r="M64" s="8" t="inlineStr">
        <is>
          <t>{percent} de la population de {city_name} vit dans des quartiers atteignant le seuil de densité de population pour une probabilité de 80 % de marcher pour se déplacer ({n} personnes {per_unit})</t>
        </is>
      </c>
      <c r="N64" s="8" t="inlineStr">
        <is>
          <t>{percent} der Bevölkerung in {city_name} leben in Vierteln, die den Bevölkerungsdichteschwellenwert für eine 80-prozentige Wahrscheinlichkeit erfüllen, zu Fuß zu gehen, um von A nach B zu kommen ({n} Personen {per_unit})</t>
        </is>
      </c>
      <c r="O64" s="8" t="inlineStr">
        <is>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is>
      </c>
      <c r="P64" s="8" t="inlineStr">
        <is>
          <t>{percent} na yawan jama'a a cikin {city_name} suna zaune a unguwannin da ke cika iyakar yawan jama'a don yuwuwar kashi 80% na shiga kowane tafiya don sufuri ({n} mutane {per_unit})</t>
        </is>
      </c>
      <c r="Q64" s="8" t="inlineStr">
        <is>
          <t>{city_name} में जनसंख्या का {percent} पड़ोस में रहता है जो जनसंख्या घनत्व सीमा को पूरा करता है, परिवहन के लिए पैदल चलने की 80% संभावना है ({n} लोग {per_unit})</t>
        </is>
      </c>
      <c r="R64" s="8" t="inlineStr">
        <is>
          <t>{percent} populasi di {city_name} tinggal di lingkungan yang memenuhi ambang batas kepadatan penduduk dengan kemungkinan 80% untuk menggunakan transportasi jalan kaki ({n} orang {per_unit})</t>
        </is>
      </c>
      <c r="S64" s="8" t="inlineStr">
        <is>
          <t>Il {percent} della popolazione di {city_name} vive in quartieri che raggiungono la soglia di densità di popolazione con una probabilità dell’80% di intraprendere un qualsiasi spostamento a piedi ({n} persone {per_unit})</t>
        </is>
      </c>
      <c r="T64" s="3" t="inlineStr">
        <is>
          <t>{city_name}の人口の{percent}は、移動手段としての徒歩移動の確率が80%である人口密度のしきい値を満たす地域に住んでいます ({n} 人 {per_unit})</t>
        </is>
      </c>
      <c r="U64" s="3" t="inlineStr">
        <is>
          <t>{city_name} 인구의 {percent}가 이동을 위해 걸을 확률이 80%인 인구 밀도 기준을 충족하는 지역에 거주합니다 ({per_unit} {n}명).</t>
        </is>
      </c>
      <c r="V64" s="3" t="inlineStr">
        <is>
          <t>{percent} o te taupori o {city_name} e noho ana ki nga takiwa e tutuki ana i te paepae kiato o te taupori mo te 80% te tupono ka uru ki tetahi hikoi mo te kawe waka ({n} tangata {per_unit})</t>
        </is>
      </c>
      <c r="W64" s="3" t="inlineStr">
        <is>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is>
      </c>
      <c r="X64" s="44" t="inlineStr">
        <is>
          <t>{percent} درصد از جمعیت {city_name} در محله‌هایی زندگی می‌کنند که حد آستانه تراکم جمعیت برای ۸۰٪ احتمال انجام هرگونه پیاده‌روی به منظور رفت‌وآمد را دارند ({n} نفر {per_unit}).</t>
        </is>
      </c>
      <c r="Y64" s="3" t="inlineStr">
        <is>
          <t>{percent} da população de {city_name} que vive em bairros que atendem ao limiar de densidade populacional para 80% de probabilidade de praticar qualquer caminhada para transporte ({n} pessoas {per_unit})</t>
        </is>
      </c>
      <c r="Z64" s="3" t="inlineStr">
        <is>
          <t>{percent} da população de {city_name} vive em bairros que atendem ao limite de densidade populacional para 80% de probabilidade de praticar qualquer caminhada para transporte ({n} pessoas {per_unit})</t>
        </is>
      </c>
      <c r="AA64" s="3" t="inlineStr">
        <is>
          <t>El {percent} de la población de {city_name} vive en vecindarios que alcanzan el umbral de densidad de población para alcanzar un  80% de probabilidad caminar para desplazarse ({n} personas {per_unit})</t>
        </is>
      </c>
      <c r="AB64" s="3" t="inlineStr">
        <is>
          <t>El {percent} de la población de {city_name} vive en vecindarios que alcanzan el umbral de densidad de población para tener una probabilidad del 80 % de caminar para desplazarse ({n} personas {per_unit})</t>
        </is>
      </c>
      <c r="AC64" s="3" t="inlineStr">
        <is>
          <t>{city_name} இல் உள்ள மக்கள் தொகையில் {percent} பேர், மக்கள் தொகை அடர்த்தி வரம்பை சந்திக்கும் சுற்றுப்புறங்களில் வசிக்கின்றனர்({n} பேர் {per_unit})</t>
        </is>
      </c>
      <c r="AD64" s="3" t="inlineStr">
        <is>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is>
      </c>
      <c r="AE64" s="3" t="inlineStr">
        <is>
          <t>{city_name} nüfusunun {percent} kadarı, nüfus yoğunluğu itibarıyla ulaşım amaçlı yürüme olasılığının %80 olduğu mahallelerde yaşıyor ({per_unit} {n} kişi)</t>
        </is>
      </c>
      <c r="AF64" s="3" t="inlineStr">
        <is>
          <t>{percent} населення міста {city_name} проживає в районах, які відповідають порогу щільності населення для 80% ймовірності йти пішки на транспорті ({n} людей {per_unit})</t>
        </is>
      </c>
      <c r="AG64" s="3" t="inlineStr">
        <is>
          <t>{percent} dân số ở {city_name} sống trong các khu dân cư đáp ứng ngưỡng mật độ dân số để có xác suất 80% người dân tham gia bất cứ loại hình đi bộ nào để di chuyển ({n} người {per_unit})</t>
        </is>
      </c>
    </row>
    <row r="65" ht="75" customHeight="1">
      <c r="A65" s="15" t="inlineStr">
        <is>
          <t>plot</t>
        </is>
      </c>
      <c r="B65" s="15" t="inlineStr">
        <is>
          <t>optimal_range - Mean 1000 m neighbourhood street intersections per km²</t>
        </is>
      </c>
      <c r="C65" s="9" t="inlineStr">
        <is>
          <t>{percent} of the population in {city_name} live in neighbourhoods meeting the street intersection density threshold for 80% probability of engaging in any walking for transport ({n} intersections {per_unit})</t>
        </is>
      </c>
      <c r="D65" s="8" t="inlineStr">
        <is>
          <t>{percent} من السكان في {city_name} يعيشون في أحياء تستوفي الحد الأدنى لكثافة تقاطعات الشوارع بنسبة 80% لاحتمال المشاركة في أي مشي لأغراض النقل ({n} تقاطعات {per_unit})</t>
        </is>
      </c>
      <c r="E65" s="8" t="inlineStr">
        <is>
          <t>El {percent} de la població de {city_name} viu en barris que compleixen el llindar de densitat d'intersecció de carrers amb un 80% de probabilitat de caminar com a mitjà de transport ({n} interseccions {per_unit})</t>
        </is>
      </c>
      <c r="F65" s="9" t="inlineStr">
        <is>
          <t>{city_name} 的 {percent} 人口居住在满足80%步行交通出行概率的街道交叉口密度阈值（{n} 个交叉口 {per_unit}）的社区</t>
        </is>
      </c>
      <c r="G65" s="8" t="inlineStr">
        <is>
          <t>{city_name} 的 {percent} 人口居住在滿足80%步行交通出行概率的街道交叉口密度閾值（{n} 個交叉口 {per_unit}）的社區</t>
        </is>
      </c>
      <c r="H65" s="16" t="inlineStr">
        <is>
          <t>{percent} stanovništva u gradu {city_name} živi u četvrtima koje zadovoljavaju prag gustoće uličnih raskrižja za 80% vjerojatnosti pješačenja radi prijevoza ({n} raskrižja {per_unit})</t>
        </is>
      </c>
      <c r="I65" s="8" t="inlineStr">
        <is>
          <t>{percent} populace v {city_name} žije ve čtvrtích, které splňují prahovou hodnotu hustoty křižovatek pro 80% pravděpodobnost, že se zapojí do jakékoli chůze za účelem dopravy ({n} křižovatek {per_unit})</t>
        </is>
      </c>
      <c r="J65" s="16" t="inlineStr">
        <is>
          <t>{percent} af befolkningen i {city_name} bor i kvarterer, der opfylder tærsklen for gadekryds tæthed for 80 % sandsynlighed for at deltage i enhver gang for transport ({n} vejkryds {per_unit})</t>
        </is>
      </c>
      <c r="K65" s="16" t="inlineStr">
        <is>
          <t>{percent} van de bevolking in {city_name} woont in buurten die voldoen aan de drempel voor de dichtheid van kruispunten, waarbij de kans van 80% is dat ze wandelen voor vervoer ({n} kruispunten {per_unit})</t>
        </is>
      </c>
      <c r="L65" s="8" t="inlineStr">
        <is>
          <t>{city_name}: {percent} asukkaista asuu kaupunginosissa, jotka täyttävät katujen risteysten tiheysrajan eli 80 %:n todennäköisyys liikkua kävellen ({n} risteystä {per_unit})</t>
        </is>
      </c>
      <c r="M65" s="8" t="inlineStr">
        <is>
          <t>{percent} de la population de {city_name} vit dans des quartiers répondant au seuil de densité d'intersections de rues pour une probabilité de 80 % de marcher pour se déplacer ({n} intersections {per_unit})</t>
        </is>
      </c>
      <c r="N65" s="8" t="inlineStr">
        <is>
          <t>{percent} der Bevölkerung in {city_name} leben in Vierteln, die den Schwellenwert für die Straßenkreuzungsdichte erreichen, sodass eine Wahrscheinlichkeit von 80 % besteht, zu Fuß zu gehen, um von A nach B zu kommen ({n} Kreuzungen {per_unit})</t>
        </is>
      </c>
      <c r="O65" s="8" t="inlineStr">
        <is>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is>
      </c>
      <c r="P65" s="8" t="inlineStr">
        <is>
          <t>{percent} na yawan jama'a a cikin {city_name} suna zaune a unguwannin da ke saduwa da madaidaicin madaidaicin titin don yuwuwar kashi 80% na shiga kowane tafiya don sufuri ({n} mahadar {per_unit})</t>
        </is>
      </c>
      <c r="Q65" s="8" t="inlineStr">
        <is>
          <t>{city_name} में आबादी का {percent} पड़ोस में रहता है जो सड़क चौराहे की घनत्व सीमा को पूरा करता है, जिससे परिवहन के लिए पैदल चलने की 80% संभावना होती है ({n} चौराहे {per_unit})</t>
        </is>
      </c>
      <c r="R65" s="8" t="inlineStr">
        <is>
          <t>{percent} populasi di {city_name} tinggal di lingkungan yang memenuhi ambang batas kepadatan persimpangan jalan dengan kemungkinan 80% untuk menggunakan transportasi jalan kaki ({n} persimpangan {per_unit})</t>
        </is>
      </c>
      <c r="S65" s="8" t="inlineStr">
        <is>
          <t>Il {percent} della popolazione di {city_name} vive in quartieri che raggiungono la soglia di densità di incroci stradali con una probabilità dell'80% di intraprendere qualsiasi spostamento a piedi ({n} incroci {per_unit})</t>
        </is>
      </c>
      <c r="T65" s="3" t="inlineStr">
        <is>
          <t>{city_name}の人口の{percent}は、移動手段としての徒歩移動の確率が80%である道路交差点密度のしきい値を満たす地域に住んでいます (交差点 {n} か所 {per_unit})</t>
        </is>
      </c>
      <c r="U65" s="3" t="inlineStr">
        <is>
          <t>{city_name} 인구의 {percent}가 이동을 위해 걸을 확률이 80%인 도로 교차로 밀도 기준을 충족하는 지역에 거주합니다 ({per_unit} {n}개 교차로)</t>
        </is>
      </c>
      <c r="V65" s="3" t="inlineStr">
        <is>
          <t>{percent} o te taupori o {city_name} e noho ana ki nga takiwa e tutuki ana i te paepae kiato o te huarahi mo te 80% te tupono ka uru ki tetahi hikoi mo te kawe waka ({n} nga whakawhitinga {per_unit})</t>
        </is>
      </c>
      <c r="W65" s="3" t="inlineStr">
        <is>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is>
      </c>
      <c r="X65" s="44" t="inlineStr">
        <is>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is>
      </c>
      <c r="Y65" s="3" t="inlineStr">
        <is>
          <t>{percent} da população de {city_name} que vive em bairros que atendem ao limiar de densidade de interseções de ruas com 80% de probabilidade de caminhar para se deslocar ({n} interseções {per_unit})</t>
        </is>
      </c>
      <c r="Z65" s="3" t="inlineStr">
        <is>
          <t>{percent} da população de {city_name} vive em bairros que atendem ao limite de densidade de interseções de ruas com 80% de probabilidade de caminhar para se deslocar ({n} interseções {per_unit})</t>
        </is>
      </c>
      <c r="AA65" s="3" t="inlineStr">
        <is>
          <t>El {percent} de la población de {city_name} vive en vecindarios que alcanzan el umbral de densidad de intersecciones de calles para alcanzar un 80 % de probabilidad de caminar por transporte ({n} intersecciones {per_unit})</t>
        </is>
      </c>
      <c r="AB65" s="3" t="inlineStr">
        <is>
          <t>El {percent} de la población de {city_name} vive en vecindarios que alcanzan el umbral de densidad de intersecciones de calles para tener un 80 % de probabilidad de caminar para desplazarse ({n} intersecciones {per_unit})</t>
        </is>
      </c>
      <c r="AC65" s="3" t="inlineStr">
        <is>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is>
      </c>
      <c r="AD65" s="3" t="inlineStr">
        <is>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is>
      </c>
      <c r="AE65" s="3" t="inlineStr">
        <is>
          <t>{city_name} nüfusunun {percent} kadarı, sokak kavşak yoğunluğu itibarıyla ulaşım amaçlı yürüme olasılığının %80 olduğu mahallelerde yaşıyor ({per_unit} {n} kavşak)</t>
        </is>
      </c>
      <c r="AF65" s="3" t="inlineStr">
        <is>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is>
      </c>
      <c r="AG65" s="3" t="inlineStr">
        <is>
          <t>{percent} dân số ở {city_name} sống trong các khu vực dân cư đáp ứng ngưỡng mật độ giao lộ đường phố để có  xác suất 80% người dân tham gia bất cứ loại hình đi bộ nào để di chuyển ({n} giao lộ {per_unit})</t>
        </is>
      </c>
    </row>
    <row r="66" ht="90" customHeight="1">
      <c r="A66" s="15" t="inlineStr">
        <is>
          <t>plot</t>
        </is>
      </c>
      <c r="B66" s="15" t="inlineStr">
        <is>
          <t>walkability_above_median_pct</t>
        </is>
      </c>
      <c r="C66" s="9" t="inlineStr">
        <is>
          <t>{percent} of the population in {city_name} live in neighbourhoods with walkability scoring above the median of 25 cities internationally (Box 1)</t>
        </is>
      </c>
      <c r="D66" s="8" t="inlineStr">
        <is>
          <t xml:space="preserve">يعيش {percent} من السكان في {city_name} في أحياء ذات درجة إمكانية المشي أعلى من متوسط 25 مدينة على المستوى الدولي (الإطار 1)  </t>
        </is>
      </c>
      <c r="E66" s="8" t="inlineStr">
        <is>
          <t>El {percent} de la població de {city_name} viu en barris amb una puntuació de caminabilitat superior a la mitjana de 25 ciutats a nivell internacional (quadre 1)</t>
        </is>
      </c>
      <c r="F66" s="9" t="inlineStr">
        <is>
          <t>{city_name} 的 {percent} 人口居住在步行适宜性得分高于国际 25 个城市中位数的社区（框 1）</t>
        </is>
      </c>
      <c r="G66" s="8" t="inlineStr">
        <is>
          <t xml:space="preserve"> {city_name} 的 {percent} 人口居住在步行適宜性得分高於國際 25 個城市中位數的社區（框 1）</t>
        </is>
      </c>
      <c r="H66" s="16" t="inlineStr">
        <is>
          <t>{percent} stanovništva u gradu {city_name} živi u četvrtima s ocjenom prohodnosti iznad medijana 25 međunarodnih gradova (okvir 1)</t>
        </is>
      </c>
      <c r="I66" s="8" t="inlineStr">
        <is>
          <t>{percent} populace v {city_name} žije ve čtvrtích s hodnocením pěší dostupnosti nad průměrem 25 měst v mezinárodním měřítku (rámeček 1)</t>
        </is>
      </c>
      <c r="J66" s="16" t="inlineStr">
        <is>
          <t>{percent} af befolkningen i {city_name} bor i kvarterer med gangbarhedsscore over medianen for 25 byer internationalt (boks 1)</t>
        </is>
      </c>
      <c r="K66" s="16" t="inlineStr">
        <is>
          <t>{percent} van de bevolking in {city_name} woont in buurten waar de beloopbaarheidsscore boven de mediaan van 25 internationale steden ligt (Box 1)</t>
        </is>
      </c>
      <c r="L66" s="8" t="inlineStr">
        <is>
          <t>{percent} alueen {city_name} asukkaista asuu kaupunginosissa, joiden kävelypisteet ovat kansainvälisesti yli 25 kaupungin mediaanin (laatikko 1)</t>
        </is>
      </c>
      <c r="M66" s="8" t="inlineStr">
        <is>
          <t xml:space="preserve"> {percent} de la population de {city_name} vit dans des quartiers dont le score de potentiel piétonnier est supérieur à la médiane de 25 villes à l'échelle internationale (encadré 1)</t>
        </is>
      </c>
      <c r="N66" s="8" t="inlineStr">
        <is>
          <t xml:space="preserve"> {percent} der Bevölkerung in {city_name} leben in Vierteln, deren Bewertung der Fußgängerfreundlichkeit über dem Median von 25 Städten weltweit liegt (Kasten 1)</t>
        </is>
      </c>
      <c r="O66" s="8" t="inlineStr">
        <is>
          <t>Το {percent} του πληθυσμού στο {city_name} ζει σε γειτονιές με βαθμολογία βατότητας πάνω από τη μέση τιμή 25 πόλεων διεθνώς (Πλαίσιο 1)</t>
        </is>
      </c>
      <c r="P66" s="8" t="inlineStr">
        <is>
          <t>{percent} na yawan jama'ar {city_name} suna zaune ne a unguwannin da ke da maki mai iya tafiya fiye da tsakiyar birane 25 na duniya (Akwatin 1)</t>
        </is>
      </c>
      <c r="Q66" s="8" t="inlineStr">
        <is>
          <t xml:space="preserve"> {city_name} की आबादी का {percent} अंतरराष्ट्रीय स्तर पर 25 शहरों के औसत से ऊपर चलने योग्य स्कोर वाले पड़ोस में रहता है (बॉक्स 1)</t>
        </is>
      </c>
      <c r="R66" s="8" t="inlineStr">
        <is>
          <t>{percent} populasi di {city_name} tinggal di lingkungan dengan skor kemampuan berjalan kaki di atas median 25 kota secara internasional (Kotak 1)</t>
        </is>
      </c>
      <c r="S66" s="8" t="inlineStr">
        <is>
          <t>Il {percent} della popolazione di {city_name} vive in quartieri con un punteggio di camminabilità superiore alla media di 25 città a livello internazionale (Riquadro 1)</t>
        </is>
      </c>
      <c r="T66" s="3" t="inlineStr">
        <is>
          <t>{city_name}の人口の{percent}は、ウォーカビリティ・スコアが世界25都市の中央値を上回る地域に住んでいます (ボックス 1)</t>
        </is>
      </c>
      <c r="U66" s="3" t="inlineStr">
        <is>
          <t>{city_name} 인구의 {percent}는 국제적으로 25개 도시의 중앙값보다 높은 점수를 받은 지역에 거주합니다(박스 1)</t>
        </is>
      </c>
      <c r="V66" s="3" t="inlineStr">
        <is>
          <t>{percent} o te taupori o {city_name} e noho ana ki ngā kāinga me te kaha hikoi i pērā i te tau waenga o ngā tāone 25 o te ao (Pouaka 1)</t>
        </is>
      </c>
      <c r="W66" s="3" t="inlineStr">
        <is>
          <t xml:space="preserve">  {city_name} मा जनसङ्ख्याको {percent} अन्तर्राष्ट्रिय रूपमा २५ सहरहरूको औसतभन्दा माथि हिड्ने क्षमता स्कोरिङ भएको छिमेकमा बस्छन् (बक्स १)</t>
        </is>
      </c>
      <c r="X66" s="44" t="inlineStr">
        <is>
          <t>{percent} از جمعیت شهر {city_name} در محله‌هایی زندگی می‌کنند که امتیاز پیاده‌پذیری آن‌ها بالاتر از میانه ۲۵ شهر در سطح بین‌المللی است (کادر ۱)</t>
        </is>
      </c>
      <c r="Y66" s="3" t="inlineStr">
        <is>
          <t xml:space="preserve"> {percent} da população de {city_name} que vive em bairros com pontuação de caminhabilidade acima da mediana de 25 cidades em todo o mundo (Quadro 1)</t>
        </is>
      </c>
      <c r="Z66" s="3" t="inlineStr">
        <is>
          <t>{percent} da população de {city_name} vive em bairros com pontuação de caminhabilidade acima da mediana de 25 cidades em todo o mundo (Quadro 1)</t>
        </is>
      </c>
      <c r="AA66" s="3" t="inlineStr">
        <is>
          <t>El {percent} de la población de {city_name} vive en vecindarios con una puntuación de caminabilidad superior al promedio de 25 ciudades a nivel internacional (Recuadro 1)</t>
        </is>
      </c>
      <c r="AB66" s="3" t="inlineStr">
        <is>
          <t>El {percent} de la población de {city_name} vive en vecindarios con una puntuación de caminabilidad superior a la media de 25 ciudades a nivel internacional (Recuadro 1)</t>
        </is>
      </c>
      <c r="AC66" s="3" t="inlineStr">
        <is>
          <t>{city_name} இல் உள்ள மக்கள்தொகையில் {percent} பேர், சர்வதேச அளவில் 25 நகரங்களின் சராசரிக்குப் மேலான நடைப்பயணத்துடன் சுற்றுப்புறங்களில் வாழ்கின்றனர் (பெட்டி 1)</t>
        </is>
      </c>
      <c r="AD66" s="3" t="inlineStr">
        <is>
          <t>{percent} ของประชากรใน {city_name} อาศัยอยู่ในชุมชนที่มีคะแนนความสามารถในการเดิน สูงกว่า ค่า มัธยฐาน ของ 25 เมือง ทั่ว โลก (กล่อง ที่ 1)</t>
        </is>
      </c>
      <c r="AE66" s="3" t="inlineStr">
        <is>
          <t>{city_name} nüfusunun {percent} kadarı, yürünebilirlik puanı uluslararası 25 şehrin ortanca değerinin üzerinde olan mahallelerde yaşıyor (Kutu 1)</t>
        </is>
      </c>
      <c r="AF66" s="3" t="inlineStr">
        <is>
          <t>{percent} населення міста {city_name} живе в районах, показник доступності яких є вищим за середній показник 25 міст світу (вставка 1)</t>
        </is>
      </c>
      <c r="AG66" s="3" t="inlineStr">
        <is>
          <t>{percent} dân số ở {city_name} sống ở các khu vực có khả năng đi bộ trên mức trung bình của 25 thành phố trên toàn thế giới (Hộp 1)</t>
        </is>
      </c>
    </row>
    <row r="67" ht="120" customHeight="1">
      <c r="A67" s="15" t="inlineStr">
        <is>
          <t>plot</t>
        </is>
      </c>
      <c r="B67" s="15" t="inlineStr">
        <is>
          <t>walkability_below_median_pct</t>
        </is>
      </c>
      <c r="C67" s="9" t="inlineStr">
        <is>
          <t>{percent} of the population in {city_name} live in neighbourhoods with walkability scoring below the median of 25 cities internationally (Box 1)</t>
        </is>
      </c>
      <c r="D67" s="8" t="inlineStr">
        <is>
          <t>يعيش {percent} من السكان في {city_name} في أحياء ذات درجة إمكانية المشي أقل من متوسط 25 مدينة على المستوى الدولي (الإطار 1)</t>
        </is>
      </c>
      <c r="E67" s="8" t="inlineStr">
        <is>
          <t>El {percent} de la població de {city_name} viu en barris amb una puntuació de caminabilitat inferior a la mitjana de 25 ciutats a nivell internacional (quadre 1)</t>
        </is>
      </c>
      <c r="F67" s="9" t="inlineStr">
        <is>
          <t>{city_name} 的 {percent} 人口居住在步行适宜性得分低于国际 25 个城市中位数的社区（框 1）</t>
        </is>
      </c>
      <c r="G67" s="8" t="inlineStr">
        <is>
          <t>{city_name} 的 {percent} 人口居住在步行適宜性得分低於國際 25 個城市中位數的社區（框 1）</t>
        </is>
      </c>
      <c r="H67" s="16" t="inlineStr">
        <is>
          <t>{percent} stanovništva u gradu {city_name} živi u četvrtima s ocjenom prohodnosti ispod medijana 25 međunarodnih gradova (okvir 1)</t>
        </is>
      </c>
      <c r="I67" s="8" t="inlineStr">
        <is>
          <t>{percent} populace v {city_name} žije ve čtvrtích s hodnocením pěší dostupnosti pod průměrem 25 měst v mezinárodním měřítku (rámeček 1)</t>
        </is>
      </c>
      <c r="J67" s="16" t="inlineStr">
        <is>
          <t>{percent} af befolkningen i {city_name} bor i kvarterer med gangbarhedsscore under medianen for 25 byer internationalt (boks 1)</t>
        </is>
      </c>
      <c r="K67" s="16" t="inlineStr">
        <is>
          <t>{percent} van de bevolking in {city_name} woont in buurten waar de beloopbaarheidsscore onder de mediaan van 25 internationale steden ligt (Box 1)</t>
        </is>
      </c>
      <c r="L67" s="8" t="inlineStr">
        <is>
          <t>{city_name}: {percent} asukkaista asuu  kaupunginosissa, joiden käveltävyysindikaattorien pisteytys on alle 25:n kaupungin kansainvälisen mediaanin (laatikko 1)</t>
        </is>
      </c>
      <c r="M67" s="8" t="inlineStr">
        <is>
          <t>{percent} de la population de {city_name} vit dans des quartiers dont le score de potentiel piétonnier est inférieur à la médiane de 25 villes à l'échelle internationale (encadré 1)</t>
        </is>
      </c>
      <c r="N67" s="8" t="inlineStr">
        <is>
          <t>{percent} der Bevölkerung in {city_name} leben in Vierteln, deren Bewertung der Fußgängerfreundlichkeit unter dem Median von 25 Städten weltweit liegt (Kasten 1)</t>
        </is>
      </c>
      <c r="O67" s="8" t="inlineStr">
        <is>
          <t>Το {percent} του πληθυσμού στο {city_name} ζει σε γειτονιές με βαθμολογία βατότητας κάτω από τη μέση τιμή 25 πόλεων διεθνώς (Πλαίσιο 1)</t>
        </is>
      </c>
      <c r="P67" s="8" t="inlineStr">
        <is>
          <t>{percent} na yawan jama'ar {city_name} suna zaune ne a unguwannin da ke da maki mai iya tafiya kasa da tsakiyar birane 25 na duniya (Akwatin 1)</t>
        </is>
      </c>
      <c r="Q67" s="8" t="inlineStr">
        <is>
          <t>{city_name} की आबादी का {percent} अंतरराष्ट्रीय स्तर पर 25 शहरों के औसत से नीचे चलने योग्य स्कोर वाले पड़ोस में रहता है (बॉक्स 1)</t>
        </is>
      </c>
      <c r="R67" s="8" t="inlineStr">
        <is>
          <t>{percent} populasi di {city_name} tinggal di lingkungan dengan skor kemampuan berjalan kaki di bawah median 25 kota secara internasional (Kotak 1)</t>
        </is>
      </c>
      <c r="S67" s="8" t="inlineStr">
        <is>
          <t>Il {percent} della popolazione di {city_name} vive in quartieri con un grado di camminabilità inferiore alla media di 25 città su scala internazionale (Riquadro 1)</t>
        </is>
      </c>
      <c r="T67" s="3" t="inlineStr">
        <is>
          <t>{city_name}の人口の{percent}は、ウォーカビリティ・スコアが世界25都市の中央値を下回る地域に住んでいます (ボックス 1)</t>
        </is>
      </c>
      <c r="U67" s="3" t="inlineStr">
        <is>
          <t>{city_name} 인구의 {percent}는 국제적으로 25개 도시의 중앙값보다 낮은 점수를 받은 지역에 거주합니다(박스 1).</t>
        </is>
      </c>
      <c r="V67" s="3" t="inlineStr">
        <is>
          <t>{percent} o te taupori o {city_name} e noho ana ki nga kaainga me te kaha hikoi i raro i te tau waenga o nga taone 25 o te ao (Pouaka 1)</t>
        </is>
      </c>
      <c r="W67" s="3" t="inlineStr">
        <is>
          <t>{city_name} मा जनसङ्ख्याको {percent} अन्तर्राष्ट्रिय रूपमा २५ सहरहरूको औसतभन्दा कम हिड्ने क्षमता स्कोरिङ भएको छिमेकमा बस्छन् (बक्स १)</t>
        </is>
      </c>
      <c r="X67" s="44" t="inlineStr">
        <is>
          <t>{percent} از جمعیت در {city_name} در محله‌هایی زندگی می‌کنند که امتیاز زیست‌پذیری آنها کمتر از میانگین ۲۵ شهر در سطح بین‌المللی است (جعبه ۱)</t>
        </is>
      </c>
      <c r="Y67" s="3" t="inlineStr">
        <is>
          <t>{percent} da população de {city_name} que vive em bairros com pontuação de caminhabilidade abaixo da mediana de 25 cidades em todo o mundo (Quadro 1)</t>
        </is>
      </c>
      <c r="Z67" s="3" t="inlineStr">
        <is>
          <t>{percent} da população de {city_name} vive em bairros com pontuação de caminhabilidade abaixo da mediana de 25 cidades em todo o mundo (Quadro 1)</t>
        </is>
      </c>
      <c r="AA67" s="3" t="inlineStr">
        <is>
          <t>El {percent} de la población de {city_name} vive en vecindarios con una puntuación de caminabilidad inferior al promedio de 25 ciudades a nivel internacional (Recuadro 1).</t>
        </is>
      </c>
      <c r="AB67" s="3" t="inlineStr">
        <is>
          <t>El {percent} de la población de {city_name} vive en vecindarios con una puntuación de caminabilidad inferior a la media de 25 ciudades a nivel internacional (Recuadro 1).</t>
        </is>
      </c>
      <c r="AC67" s="3" t="inlineStr">
        <is>
          <t>{city_name} இல் உள்ள மக்கள்தொகையில் {percent} பேர், சர்வதேச அளவில் 25 நகரங்களின் சராசரிக்கும் குறைவான நடைப்பயணத்துடன் சுற்றுப்புறங்களில் வாழ்கின்றனர் (பெட்டி 1)</t>
        </is>
      </c>
      <c r="AD67" s="3" t="inlineStr">
        <is>
          <t>{percent} ของ​ประชากร​ใน {city_name} อาศัย​อยู่​ใน​ชุมชน​ที่​มี​คะแนน​ความ​สามารถ​ใน​การ​เดิน​ต่ำ​กว่า​ค่า​มัธยฐาน​ของ 25 เมือง​ทั่ว​โลก (กล่อง​ที่ 1)</t>
        </is>
      </c>
      <c r="AE67" s="3" t="inlineStr">
        <is>
          <t>{city_name} nüfusunun {percent} kadarı, yürünebilirlik puanı uluslararası 25 şehrin ortanca değerinin altında olan mahallelerde yaşıyor (Kutu 1)</t>
        </is>
      </c>
      <c r="AF67" s="3" t="inlineStr">
        <is>
          <t>{percent} населення міста {city_name} живе в районах, показник доступності яких є нижчим за середній показник 25 міст світу (вставка 1)</t>
        </is>
      </c>
      <c r="AG67" s="3" t="inlineStr">
        <is>
          <t>{percent} dân số ở {city_name} sống ở các khu vực có khả năng đi bộ dưới mức trung bình của 25 thành phố quốc tế (Ô số 1)</t>
        </is>
      </c>
    </row>
    <row r="68" ht="105" customHeight="1">
      <c r="A68" s="15" t="inlineStr">
        <is>
          <t>plot</t>
        </is>
      </c>
      <c r="B68" s="15" t="inlineStr">
        <is>
          <t>Policies identified</t>
        </is>
      </c>
      <c r="C68" s="9" t="inlineStr">
        <is>
          <t>Policies identified</t>
        </is>
      </c>
      <c r="D68" s="8" t="inlineStr">
        <is>
          <t>تم تحديد السياسات</t>
        </is>
      </c>
      <c r="E68" s="8" t="inlineStr">
        <is>
          <t>Polítiques identificades</t>
        </is>
      </c>
      <c r="F68" s="9" t="inlineStr">
        <is>
          <t>现有政策</t>
        </is>
      </c>
      <c r="G68" s="8" t="inlineStr">
        <is>
          <t>現有政策</t>
        </is>
      </c>
      <c r="H68" s="16" t="inlineStr">
        <is>
          <t>Politike identificirane</t>
        </is>
      </c>
      <c r="I68" s="8" t="inlineStr">
        <is>
          <t>Dokumenty k dispozici</t>
        </is>
      </c>
      <c r="J68" s="16" t="inlineStr">
        <is>
          <t>Formulerede poltikker</t>
        </is>
      </c>
      <c r="K68" s="16" t="inlineStr">
        <is>
          <t xml:space="preserve">Beleid geïdentificeerd </t>
        </is>
      </c>
      <c r="L68" s="8" t="inlineStr">
        <is>
          <t>Politiikkadokumentit ja muut yksittäiset poliittiset ohjauskeinot tunnistettu</t>
        </is>
      </c>
      <c r="M68" s="8" t="inlineStr">
        <is>
          <t>Politiques identifiées</t>
        </is>
      </c>
      <c r="N68" s="8" t="inlineStr">
        <is>
          <t>Identifizierte Richtlinien</t>
        </is>
      </c>
      <c r="O68" s="8" t="inlineStr">
        <is>
          <t>Προσδιορίστηκαν πολιτικές</t>
        </is>
      </c>
      <c r="P68" s="8" t="inlineStr">
        <is>
          <t>An gano manufofin</t>
        </is>
      </c>
      <c r="Q68" s="8" t="inlineStr">
        <is>
          <t>नीतियों की पहचान की गई</t>
        </is>
      </c>
      <c r="R68" s="8" t="inlineStr">
        <is>
          <t>Kebijakan diidentifikasi</t>
        </is>
      </c>
      <c r="S68" s="8" t="inlineStr">
        <is>
          <t>Politiche identificate</t>
        </is>
      </c>
      <c r="T68" s="3" t="inlineStr">
        <is>
          <t>特定された政策</t>
        </is>
      </c>
      <c r="U68" s="3" t="inlineStr">
        <is>
          <t>확인된 정책들</t>
        </is>
      </c>
      <c r="V68" s="3" t="inlineStr">
        <is>
          <t>Ngā Kaupapahere i Tautohutia</t>
        </is>
      </c>
      <c r="W68" s="3" t="inlineStr">
        <is>
          <t>नीतिहरू पहिचान गरियो</t>
        </is>
      </c>
      <c r="X68" s="44" t="inlineStr">
        <is>
          <t>سیاست های شناسایی شده</t>
        </is>
      </c>
      <c r="Y68" s="3" t="inlineStr">
        <is>
          <t>Políticas identificadas</t>
        </is>
      </c>
      <c r="Z68" s="3" t="inlineStr">
        <is>
          <t>Políticas identificadas</t>
        </is>
      </c>
      <c r="AA68" s="3" t="inlineStr">
        <is>
          <t>Políticas identificadas</t>
        </is>
      </c>
      <c r="AB68" s="3" t="inlineStr">
        <is>
          <t>Políticas identificadas</t>
        </is>
      </c>
      <c r="AC68" s="3" t="inlineStr">
        <is>
          <t>கண்டறியப்பட்ட கொள்கைகள்</t>
        </is>
      </c>
      <c r="AD68" s="3" t="inlineStr">
        <is>
          <t>นโยบาย​ที่​ระบุ</t>
        </is>
      </c>
      <c r="AE68" s="3" t="inlineStr">
        <is>
          <t>Tespit edilen politikalar</t>
        </is>
      </c>
      <c r="AF68" s="3" t="inlineStr">
        <is>
          <t>Політика визначена</t>
        </is>
      </c>
      <c r="AG68" s="3" t="inlineStr">
        <is>
          <t>Chính sách đã được xác định</t>
        </is>
      </c>
    </row>
    <row r="69" ht="105" customHeight="1">
      <c r="A69" s="15" t="inlineStr">
        <is>
          <t>plot</t>
        </is>
      </c>
      <c r="B69" s="15" t="inlineStr">
        <is>
          <t>Population % with access within 400m to...</t>
        </is>
      </c>
      <c r="C69" s="9" t="inlineStr">
        <is>
          <t>% of
population
with access
within 400m
to:</t>
        </is>
      </c>
      <c r="D69" s="8" t="inlineStr">
        <is>
          <t>النسبة المئوية للسكان الذين يمكنهم الوصول في نطاق 500 متر إلى:</t>
        </is>
      </c>
      <c r="E69" s="8" t="inlineStr">
        <is>
          <t>% de la població amb accés a menys de 500 m a:</t>
        </is>
      </c>
      <c r="F69" s="9" t="inlineStr">
        <is>
          <t>500米范围内能够到达以下地点的人口百分比：</t>
        </is>
      </c>
      <c r="G69" s="8" t="inlineStr">
        <is>
          <t>500m 範圍內能夠到達以下地點的人口百分比：</t>
        </is>
      </c>
      <c r="H69" s="16" t="inlineStr">
        <is>
          <t>% stanovništva s pristupom unutar 500 m do:</t>
        </is>
      </c>
      <c r="I69" s="8" t="inlineStr">
        <is>
          <t>% populace s přístupem do 500 m k:</t>
        </is>
      </c>
      <c r="J69" s="16" t="inlineStr">
        <is>
          <t>% af befolkningen med adgang inden for 500 m til:</t>
        </is>
      </c>
      <c r="K69" s="16" t="inlineStr">
        <is>
          <t>% van de bevolking met toegang binnen 500 meter tot:</t>
        </is>
      </c>
      <c r="L69" s="8" t="inlineStr">
        <is>
          <t>% väestöstä, joilla on pääsy 500 metrin säteellä:</t>
        </is>
      </c>
      <c r="M69" s="8" t="inlineStr">
        <is>
          <t>% de la population ayant accès à moins de 500 m à :</t>
        </is>
      </c>
      <c r="N69" s="8" t="inlineStr">
        <is>
          <t>% der Bevölkerung mit Zugang im Umkreis von 500 m zu:</t>
        </is>
      </c>
      <c r="O69" s="8" t="inlineStr">
        <is>
          <t>% του πληθυσμού με πρόσβαση εντός 500 μέτρων σε:</t>
        </is>
      </c>
      <c r="P69" s="8" t="inlineStr">
        <is>
          <t>% na yawan jama'a tare da shiga tsakanin 500m zuwa:</t>
        </is>
      </c>
      <c r="Q69" s="8" t="inlineStr">
        <is>
          <t>500 मीटर के भीतर पहुँच वाली जनसंख्या का %:</t>
        </is>
      </c>
      <c r="R69" s="8" t="inlineStr">
        <is>
          <t>% populasi dengan akses dalam jarak 500 m ke:</t>
        </is>
      </c>
      <c r="S69" s="8" t="inlineStr">
        <is>
          <t>% della popolazione con accesso entro 500 m a:</t>
        </is>
      </c>
      <c r="T69" s="3" t="inlineStr">
        <is>
          <t>500m以内でアクセスできる人口の割合:</t>
        </is>
      </c>
      <c r="U69" s="3" t="inlineStr">
        <is>
          <t>500m 이내에 접근 가능한 인구 비율:</t>
        </is>
      </c>
      <c r="V69" s="3" t="inlineStr">
        <is>
          <t>% o te taupori whai urunga i roto i te 500m ki:</t>
        </is>
      </c>
      <c r="W69" s="3" t="inlineStr">
        <is>
          <t>500m भित्र पहुँच भएको जनसंख्याको %:</t>
        </is>
      </c>
      <c r="X69" s="44" t="inlineStr">
        <is>
          <t>درصد جمعیت با دسترسی در ۵۰۰ متر به:</t>
        </is>
      </c>
      <c r="Y69" s="3" t="inlineStr">
        <is>
          <t>% da população com acesso em um raio de 500m a:</t>
        </is>
      </c>
      <c r="Z69" s="3" t="inlineStr">
        <is>
          <t>% da população com acesso num raio de 500m a:</t>
        </is>
      </c>
      <c r="AA69" s="3" t="inlineStr">
        <is>
          <t>% de población con acceso a 500 m o menos a:</t>
        </is>
      </c>
      <c r="AB69" s="3" t="inlineStr">
        <is>
          <t>% de población con acceso a menos de 500 m a:</t>
        </is>
      </c>
      <c r="AC69" s="3" t="inlineStr">
        <is>
          <t>500 மீட்டருக்குள் அணுகக்கூடிய மக்கள் தொகையின்%:</t>
        </is>
      </c>
      <c r="AD69" s="3" t="inlineStr">
        <is>
          <t>% ของ​ประชากร​ที่​เข้า​ถึง​ได้​ภาย​ใน​ระยะ 500 ม. เพื่อ:</t>
        </is>
      </c>
      <c r="AE69" s="3" t="inlineStr">
        <is>
          <t>500m
mesafede 
erişebilen 
nüfus 
yüzdesi</t>
        </is>
      </c>
      <c r="AF69" s="3" t="inlineStr">
        <is>
          <t>% населення з доступом до 500 м до:</t>
        </is>
      </c>
      <c r="AG69" s="3" t="inlineStr">
        <is>
          <t>% dân số có thể tiếp cận trong phạm vi 500m tới:</t>
        </is>
      </c>
    </row>
    <row r="70" ht="30" customHeight="1">
      <c r="A70" s="15" t="inlineStr">
        <is>
          <t>plot</t>
        </is>
      </c>
      <c r="B70" s="15" t="inlineStr">
        <is>
          <t>Neighbourhood population density (per km²)</t>
        </is>
      </c>
      <c r="C70" s="9" t="inlineStr">
        <is>
          <t>Neighbourhood population density (per km²)</t>
        </is>
      </c>
      <c r="D70" s="8" t="inlineStr">
        <is>
          <t>الكثافة السكانية للحي (لكل كيلومتر مربع)</t>
        </is>
      </c>
      <c r="E70" s="8" t="inlineStr">
        <is>
          <t>Densitat de població del barri (per km²)</t>
        </is>
      </c>
      <c r="F70" s="9" t="inlineStr">
        <is>
          <t>社区人口密度（每平方公里）</t>
        </is>
      </c>
      <c r="G70" s="8" t="inlineStr">
        <is>
          <t>社區人口密度（每平方公里）</t>
        </is>
      </c>
      <c r="H70" s="16" t="inlineStr">
        <is>
          <t>Gustoća naseljenosti četvrti (po km²)</t>
        </is>
      </c>
      <c r="I70" s="8" t="inlineStr">
        <is>
          <t>Hustota obyvatelstva v sousedství (na km²)</t>
        </is>
      </c>
      <c r="J70" s="16" t="inlineStr">
        <is>
          <t>Befolkningstæthed i kvarteret (pr. km²)</t>
        </is>
      </c>
      <c r="K70" s="16" t="inlineStr">
        <is>
          <t>Bevolkingsdichtheid van de buurt (per km²)</t>
        </is>
      </c>
      <c r="L70" s="8" t="inlineStr">
        <is>
          <t>Naapuruston väestötiheys (per km²)</t>
        </is>
      </c>
      <c r="M70" s="8" t="inlineStr">
        <is>
          <t>Densité de population du quartier (par km²)</t>
        </is>
      </c>
      <c r="N70" s="8" t="inlineStr">
        <is>
          <t>Bevölkerungsdichte in der Nachbarschaft (pro km²)</t>
        </is>
      </c>
      <c r="O70" s="8" t="inlineStr">
        <is>
          <t>Πυκνότητα πληθυσμού γειτονιάς (ανά km²)</t>
        </is>
      </c>
      <c r="P70" s="8" t="inlineStr">
        <is>
          <t>Yawan yawan jama'ar makwafta (akowace km²)</t>
        </is>
      </c>
      <c r="Q70" s="8" t="inlineStr">
        <is>
          <t>पड़ोस का जनसंख्या घनत्व (प्रति वर्ग किमी)</t>
        </is>
      </c>
      <c r="R70" s="8" t="inlineStr">
        <is>
          <t>Kepadatan penduduk di lingkungan sekitar (per km²)</t>
        </is>
      </c>
      <c r="S70" s="8" t="inlineStr">
        <is>
          <t>Densità di popolazione del quartiere (per km²)</t>
        </is>
      </c>
      <c r="T70" s="3" t="inlineStr">
        <is>
          <t>近隣の人口密度 (km²あたり)</t>
        </is>
      </c>
      <c r="U70" s="3" t="inlineStr">
        <is>
          <t>지역 인구 밀도(km²당)</t>
        </is>
      </c>
      <c r="V70" s="3" t="inlineStr">
        <is>
          <t>Kiato taupori noho tata (ia km²)</t>
        </is>
      </c>
      <c r="W70" s="3" t="inlineStr">
        <is>
          <t>छिमेकी जनसंख्या घनत्व (प्रति किमी²)</t>
        </is>
      </c>
      <c r="X70" s="44" t="inlineStr">
        <is>
          <t>تراکم جمعیت محله (در هر کیلومتر مربع)</t>
        </is>
      </c>
      <c r="Y70" s="3" t="inlineStr">
        <is>
          <t>Densidade populacional da vizinhança (por km²)</t>
        </is>
      </c>
      <c r="Z70" s="3" t="inlineStr">
        <is>
          <t>Densidade populacional do bairro (por km²)</t>
        </is>
      </c>
      <c r="AA70" s="3" t="inlineStr">
        <is>
          <t>Densidad de población del vecindario  (por km²)</t>
        </is>
      </c>
      <c r="AB70" s="3" t="inlineStr">
        <is>
          <t>Densidad de población del barrio (por km²)</t>
        </is>
      </c>
      <c r="AC70" s="3" t="inlineStr">
        <is>
          <t>சுற்றுப்புற மக்கள் தொகை அடர்த்தி (கிமீ²க்கு)</t>
        </is>
      </c>
      <c r="AD70" s="3" t="inlineStr">
        <is>
          <t>ความ​หนา​แน่น​ของ​ประชากร​ใน​ชุมชน (ต่อ​ตาราง​กิโลเมตร)</t>
        </is>
      </c>
      <c r="AE70" s="3" t="inlineStr">
        <is>
          <t>Mahalle nüfus yoğunluğu (km² başına)</t>
        </is>
      </c>
      <c r="AF70" s="3" t="inlineStr">
        <is>
          <t>Щільність населення околиць (на км²)</t>
        </is>
      </c>
      <c r="AG70" s="3" t="inlineStr">
        <is>
          <t>Mật độ dân số của khu dân cư (trên km2)</t>
        </is>
      </c>
    </row>
    <row r="71" ht="75" customHeight="1">
      <c r="A71" s="15" t="inlineStr">
        <is>
          <t>plot</t>
        </is>
      </c>
      <c r="B71" s="15" t="inlineStr">
        <is>
          <t>Neighbourhood intersection density (per km²)</t>
        </is>
      </c>
      <c r="C71" s="9" t="inlineStr">
        <is>
          <t>Neighbourhood intersection density (per km²)</t>
        </is>
      </c>
      <c r="D71" s="8" t="inlineStr">
        <is>
          <t>كثافة تقاطعات الحي (لكل كيلومتر مربع)</t>
        </is>
      </c>
      <c r="E71" s="8" t="inlineStr">
        <is>
          <t>Densitat d'intersecció del barri (per km²)</t>
        </is>
      </c>
      <c r="F71" s="9" t="inlineStr">
        <is>
          <t>社区路口密度（每平方公里）</t>
        </is>
      </c>
      <c r="G71" s="8" t="inlineStr">
        <is>
          <t>社區路口密度（每平方公里）</t>
        </is>
      </c>
      <c r="H71" s="16" t="inlineStr">
        <is>
          <t>Gustoća raskrižja u susjedstvu (po km²)</t>
        </is>
      </c>
      <c r="I71" s="8" t="inlineStr">
        <is>
          <t>Hustota křižovatek sousedství (na km²)</t>
        </is>
      </c>
      <c r="J71" s="16" t="inlineStr">
        <is>
          <t>Kvarterskryds tæthed (pr. km²)</t>
        </is>
      </c>
      <c r="K71" s="16" t="inlineStr">
        <is>
          <t>Dichtheid kruispunten in de buurt (per km²)</t>
        </is>
      </c>
      <c r="L71" s="8" t="inlineStr">
        <is>
          <t>Naapuruston risteystiheys (per km²)</t>
        </is>
      </c>
      <c r="M71" s="8" t="inlineStr">
        <is>
          <t>Densité des intersections de quartier (par km²)</t>
        </is>
      </c>
      <c r="N71" s="8" t="inlineStr">
        <is>
          <t>Dichte der Kreuzungen in der Nachbarschaft (pro km²)</t>
        </is>
      </c>
      <c r="O71" s="8" t="inlineStr">
        <is>
          <t>Πυκνότητα τομής γειτονιάς (ανά km²)</t>
        </is>
      </c>
      <c r="P71" s="8" t="inlineStr">
        <is>
          <t>Matsakaicin maƙwabcin maƙwabta (akowace km²)</t>
        </is>
      </c>
      <c r="Q71" s="8" t="inlineStr">
        <is>
          <t>पड़ोस का चौराहा घनत्व (प्रति किमी²)</t>
        </is>
      </c>
      <c r="R71" s="8" t="inlineStr">
        <is>
          <t>Kepadatan persimpangan lingkungan (per km²)</t>
        </is>
      </c>
      <c r="S71" s="8" t="inlineStr">
        <is>
          <t>Densità di intersezioni del quartiere (per km²)</t>
        </is>
      </c>
      <c r="T71" s="3" t="inlineStr">
        <is>
          <t>近隣の交差点密度 (km²あたり)</t>
        </is>
      </c>
      <c r="U71" s="3" t="inlineStr">
        <is>
          <t>지역 교차로 밀도(km²당)</t>
        </is>
      </c>
      <c r="V71" s="3" t="inlineStr">
        <is>
          <t>Te kiatotanga o te noho tata (ia km²)</t>
        </is>
      </c>
      <c r="W71" s="3" t="inlineStr">
        <is>
          <t>छिमेकी प्रतिच्छेदन घनत्व (प्रति किमी²)</t>
        </is>
      </c>
      <c r="X71" s="44" t="inlineStr">
        <is>
          <t>تراکم تقاطع محله (در هر کیلومتر مربع)</t>
        </is>
      </c>
      <c r="Y71" s="3" t="inlineStr">
        <is>
          <t>Densidade de interseções na vizinhança (por km²)</t>
        </is>
      </c>
      <c r="Z71" s="3" t="inlineStr">
        <is>
          <t>Densidade de interseções de bairros (por km²)</t>
        </is>
      </c>
      <c r="AA71" s="3" t="inlineStr">
        <is>
          <t>Densidad de intersecciones del vecindario (por km²)</t>
        </is>
      </c>
      <c r="AB71" s="3" t="inlineStr">
        <is>
          <t>Densidad de intersecciones del barrio (por km²)</t>
        </is>
      </c>
      <c r="AC71" s="3" t="inlineStr">
        <is>
          <t>அக்கம்பக்கத்தின் குறுக்குவெட்டு அடர்த்தி (கிமீ²க்கு)</t>
        </is>
      </c>
      <c r="AD71" s="3" t="inlineStr">
        <is>
          <t>ความ​หนา​แน่น​ของ​ทาง​แยก​ใน​ชุมชน (ต่อ​ตาราง​กิโลเมตร)</t>
        </is>
      </c>
      <c r="AE71" s="3" t="inlineStr">
        <is>
          <t>Mahalle kavşak yoğunluğu (km² başına)</t>
        </is>
      </c>
      <c r="AF71" s="3" t="inlineStr">
        <is>
          <t>Щільність мікрорайону (на км²)</t>
        </is>
      </c>
      <c r="AG71" s="3" t="inlineStr">
        <is>
          <t>Mật độ giao lộ của khu dân cư (trên km2)</t>
        </is>
      </c>
    </row>
    <row r="72" ht="30" customHeight="1">
      <c r="A72" s="15" t="inlineStr">
        <is>
          <t>plot</t>
        </is>
      </c>
      <c r="B72" s="15" t="inlineStr">
        <is>
          <t>25 city comparison</t>
        </is>
      </c>
      <c r="C72" s="9" t="inlineStr">
        <is>
          <t>Median and interquartile range for 25 cities internationally (Box 1)</t>
        </is>
      </c>
      <c r="D72" s="8" t="inlineStr">
        <is>
          <t>النطاق المتوسط والربعي لـ 25 مدينة على المستوى الدولي (الإطار 1)</t>
        </is>
      </c>
      <c r="E72" s="8" t="inlineStr">
        <is>
          <t>Interval mitjà i interquartil per a 25 ciutats internacionals (quadre 1)</t>
        </is>
      </c>
      <c r="F72" s="9" t="inlineStr">
        <is>
          <t>国际 25 个城市的中位数和四分位数范围（框 1）</t>
        </is>
      </c>
      <c r="G72" s="8" t="inlineStr">
        <is>
          <t>國際 25 個城市的中位數和四分位數範圍（框 1）</t>
        </is>
      </c>
      <c r="H72" s="16" t="inlineStr">
        <is>
          <t>Medijan i interkvartilni raspon za 25 međunarodnih gradova (Okvir 1)</t>
        </is>
      </c>
      <c r="I72" s="8" t="inlineStr">
        <is>
          <t>Medián a mezikvartilový rozsah pro 25 měst v mezinárodním měřítku (rámeček 1)</t>
        </is>
      </c>
      <c r="J72" s="16" t="inlineStr">
        <is>
          <t>Median- og interkvartilinterval for 25 byer internationalt (boks 1)</t>
        </is>
      </c>
      <c r="K72" s="16" t="inlineStr">
        <is>
          <t>Mediaan en interkwartielbereik voor 25 internationale steden (Box 1)</t>
        </is>
      </c>
      <c r="L72" s="8" t="inlineStr">
        <is>
          <t>Mediaani ja kvartiiliväli 25:ssa kaupungissa kansainvälisesti (laatikko 1)</t>
        </is>
      </c>
      <c r="M72" s="8" t="inlineStr">
        <is>
          <t>Écart médian et interquartile pour 25 villes à l’échelle internationale (encadré 1)</t>
        </is>
      </c>
      <c r="N72" s="8" t="inlineStr">
        <is>
          <t>Median- und Interquartilbereich für 25 Städte weltweit (Kasten 1)</t>
        </is>
      </c>
      <c r="O72" s="8" t="inlineStr">
        <is>
          <t>Διάμεσο και διατεταρτημόριο εύρος για 25 πόλεις διεθνώς (Πλαίσιο 1)</t>
        </is>
      </c>
      <c r="P72" s="8" t="inlineStr">
        <is>
          <t>Matsakaici da tsaka-tsaki na birane 25 na duniya (Akwatin 1)</t>
        </is>
      </c>
      <c r="Q72" s="8" t="inlineStr">
        <is>
          <t>अंतरराष्ट्रीय स्तर पर 25 शहरों के लिए माध्यिका और अंतरचतुर्थक सीमा (बॉक्स 1)</t>
        </is>
      </c>
      <c r="R72" s="8" t="inlineStr">
        <is>
          <t>Kisaran median dan interkuartil untuk 25 kota secara internasional (Kotak 1)</t>
        </is>
      </c>
      <c r="S72" s="8" t="inlineStr">
        <is>
          <t>Mediana e scarto interquartile per 25 città su scala internazionale (Riquadro 1)</t>
        </is>
      </c>
      <c r="T72" s="3" t="inlineStr">
        <is>
          <t>世界25都市の中央値と四分位範囲 (ボックス 1)</t>
        </is>
      </c>
      <c r="U72" s="3" t="inlineStr">
        <is>
          <t>전 세계 25개 도시의 중앙값과 사분위수 범위(박스 1)</t>
        </is>
      </c>
      <c r="V72" s="3" t="inlineStr">
        <is>
          <t>Te awhe waenga me te hauwhā mo nga taone 25 o te ao (Pouaka 1)</t>
        </is>
      </c>
      <c r="W72" s="3" t="inlineStr">
        <is>
          <t>अन्तर्राष्ट्रिय रूपमा 25 शहरहरूको लागि मध्य र अन्तर-चतुर्थक दायरा (बक्स 1)</t>
        </is>
      </c>
      <c r="X72" s="44" t="inlineStr">
        <is>
          <t>محدوده میانه و میان چارکی برای ۲۵ شهر در سطح بین المللی (کادر ۱)</t>
        </is>
      </c>
      <c r="Y72" s="3" t="inlineStr">
        <is>
          <t>Mediana e intervalo interquartil para 25 cidades internacionalmente (Quadro 1)</t>
        </is>
      </c>
      <c r="Z72" s="3" t="inlineStr">
        <is>
          <t>Mediana e intervalo interquartil para 25 cidades internacionalmente (Quadro 1)</t>
        </is>
      </c>
      <c r="AA72" s="3" t="inlineStr">
        <is>
          <t>Mediana y rango intercuartil de 25 ciudades a nivel internacional (Recuadro 1)</t>
        </is>
      </c>
      <c r="AB72" s="3" t="inlineStr">
        <is>
          <t>Mediana y rango intercuartil de 25 ciudades a nivel internacional (Recuadro 1)</t>
        </is>
      </c>
      <c r="AC72" s="3" t="inlineStr">
        <is>
          <t>சர்வதேச அளவில் 25 நகரங்களுக்கான இடைநிலை மற்றும் இடைக்கால வரம்பு (பெட்டி 1)</t>
        </is>
      </c>
      <c r="AD72" s="3" t="inlineStr">
        <is>
          <t>ค่า​มัธยฐาน​และ​พิสัย​ระ​หว่าง​ควอ​ไทล์สำหรับ 25 เมือง​ทั่ว​โลก (กล่อง​ที่ 1)</t>
        </is>
      </c>
      <c r="AE72" s="3" t="inlineStr">
        <is>
          <t>Uluslararası 25 şehir için ortanca ve çeyreklikler arası aralık (Kutu 1)</t>
        </is>
      </c>
      <c r="AF72" s="3" t="inlineStr">
        <is>
          <t>Медіана та інтерквартильний діапазон для 25 міст у всьому світі (вставка 1)</t>
        </is>
      </c>
      <c r="AG72" s="3" t="inlineStr">
        <is>
          <t>Trung vị và  khoảng tứ phân vị (khoảng trải giữa) của 25 thành phố quốc tế (Ô số 1)</t>
        </is>
      </c>
    </row>
    <row r="73" ht="30" customHeight="1">
      <c r="A73" s="15" t="inlineStr">
        <is>
          <t>template</t>
        </is>
      </c>
      <c r="B73" s="15" t="inlineStr">
        <is>
          <t>population_caption</t>
        </is>
      </c>
      <c r="C73" s="9" t="inlineStr">
        <is>
          <t>The spatial distribution maps featured in this report display results for areas with population estimates according to {config[population][name]}.</t>
        </is>
      </c>
      <c r="D73" s="8" t="inlineStr">
        <is>
          <t>تعرض خرائط التوزيع المكاني الواردة في هذا التقرير نتائج للمناطق ذات التقديرات السكانية وفقًا لـ {config[population][name]}.</t>
        </is>
      </c>
      <c r="E73" s="8" t="inlineStr">
        <is>
          <t>Els mapes de distribució espacial que es mostren en aquest informe mostren els resultats de les àrees amb estimacions de població segons {config[population][name]}.</t>
        </is>
      </c>
      <c r="F73" s="9" t="inlineStr">
        <is>
          <t>本报告中的空间分布图显示了根据 {config[population][name]} 进行人口估计的区域的结果。</t>
        </is>
      </c>
      <c r="G73" s="8" t="inlineStr">
        <is>
          <t>本報告中的空間分佈圖顯示了根據 {config[population][name]} 進行人口估計的區域的結果。</t>
        </is>
      </c>
      <c r="H73" s="16" t="inlineStr">
        <is>
          <t>Karte prostorne distribucije prikazane u ovom izvješću prikazuju rezultate za područja s procjenama stanovništva prema {config[population][name]}.</t>
        </is>
      </c>
      <c r="I73" s="8" t="inlineStr">
        <is>
          <t>Mapy prostorového rozložení uvedené v této zprávě zobrazují výsledky pro oblasti s odhady populace podle {config[population][name]}.</t>
        </is>
      </c>
      <c r="J73" s="16" t="inlineStr">
        <is>
          <t>De geografiske fordelingskort i denne rapport viser resultater for områder med befolkningsestimater i henhold til {config[population][name]}.</t>
        </is>
      </c>
      <c r="K73" s="16" t="inlineStr">
        <is>
          <t>De ruimtelijke distributiekaarten in dit rapport geven resultaten weer voor gebieden met bevolkingsschattingen volgens {config[population][name]}.</t>
        </is>
      </c>
      <c r="L73" s="8" t="inlineStr">
        <is>
          <t>Tämän raportin kartat näyttävät tuloksia alueista, joiden väestömäärät perustuvat {config[population][name]} aineistoon.</t>
        </is>
      </c>
      <c r="M73" s="8" t="inlineStr">
        <is>
          <t>Les cartes de répartition spatiale présentées dans ce rapport affichent les résultats pour les zones avec des estimations de population selon {config[population][name]}.</t>
        </is>
      </c>
      <c r="N73" s="8" t="inlineStr">
        <is>
          <t>Die in diesem Bericht vorgestellten räumlichen Verteilungskarten zeigen Ergebnisse für Gebiete mit Bevölkerungsschätzungen gemäß {config[population][name]}.</t>
        </is>
      </c>
      <c r="O73" s="8" t="inlineStr">
        <is>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is>
      </c>
      <c r="P73" s="8" t="inlineStr">
        <is>
          <t>Taswirorin rarraba sararin samaniya da aka nuna a cikin wannan rahoton suna nuna sakamakon ga wuraren da ke da kimar yawan jama'a bisa ga {config[population][name]}.</t>
        </is>
      </c>
      <c r="Q73" s="8" t="inlineStr">
        <is>
          <t>इस रिपोर्ट में प्रदर्शित स्थानिक वितरण मानचित्र {config[population][name]} के अनुसार जनसंख्या अनुमान वाले क्षेत्रों के परिणाम प्रदर्शित करते हैं।</t>
        </is>
      </c>
      <c r="R73" s="8" t="inlineStr">
        <is>
          <t>Peta sebaran spasial yang ditampilkan dalam laporan ini menampilkan hasil wilayah dengan perkiraan populasi menurut {config[population][name]}.</t>
        </is>
      </c>
      <c r="S73" s="8" t="inlineStr">
        <is>
          <t>Le mappe della distribuzione spaziale presentate in questo rapporto mostrano i risultati per le aree con stime della popolazione secondo {config[population][name]}.</t>
        </is>
      </c>
      <c r="T73" s="3" t="inlineStr">
        <is>
          <t>このレポートの空間分布マップは、{config[population][name]}による人口推定結果を表示しています。</t>
        </is>
      </c>
      <c r="U73" s="3" t="inlineStr">
        <is>
          <t>이 보고서에 수록된 공간 분포 지도는 {config[population][name]}에 따른 인구 추정치가 있는 지역에 대한 결과를 보여줍니다.</t>
        </is>
      </c>
      <c r="V73" s="3" t="inlineStr">
        <is>
          <t>Ko nga mapi tuari mokowā kei roto i tenei ripoata e whakaatu ana i nga hua mo nga waahi e whakatau tata ana te taupori e ai ki {config[population][name]}.</t>
        </is>
      </c>
      <c r="W73" s="3" t="inlineStr">
        <is>
          <t>यस रिपोर्टमा चित्रित स्थानिय वितरण नक्साहरूले {config[population][name]} अनुसार जनसंख्या अनुमान भएका क्षेत्रहरूको लागि परिणामहरू देखाउँछन्।</t>
        </is>
      </c>
      <c r="X73" s="44" t="inlineStr">
        <is>
          <t>نقشه‌های توزیع مکانی ارائه شده در این گزارش، نتایج را برای مناطقی با برآورد جمعیت بر اساس {config[population][name]} نمایش می‌دهند.</t>
        </is>
      </c>
      <c r="Y73" s="3" t="inlineStr">
        <is>
          <t>Os mapas de distribuição espacial apresentados neste relatório exibem resultados para áreas com estimativas populacionais de acordo com {config[population][name]}.</t>
        </is>
      </c>
      <c r="Z73" s="3" t="inlineStr">
        <is>
          <t>Os mapas de distribuição espacial apresentados neste relatório exibem resultados para áreas com estimativas populacionais de acordo com {config[population][name]}.</t>
        </is>
      </c>
      <c r="AA73" s="3" t="inlineStr">
        <is>
          <t>Los mapas de distribución espacial que aparecen en este reporte muestran resultados para áreas con estimaciones de población según {config[population][name]}.</t>
        </is>
      </c>
      <c r="AB73" s="3" t="inlineStr">
        <is>
          <t>Los mapas de distribución espacial que aparecen en este informe muestran resultados para áreas con estimaciones de población según {config[population][name]}.</t>
        </is>
      </c>
      <c r="AC73" s="3" t="inlineStr">
        <is>
          <t>இந்த அறிக்கையில் இடம்பெற்றுள்ள இடஞ்சார்ந்த விநியோக வரைபடங்கள், {config[population][name]} இன் படி மக்கள்தொகை மதிப்பீடுகளைக் கொண்ட பகுதிகளுக்கான முடிவுகளைக் காண்பிக்கும்.</t>
        </is>
      </c>
      <c r="AD73" s="3" t="inlineStr">
        <is>
          <t>แผนที่​การ​กระจาย​เชิง​พื้นที่​ที่​แสดง​ใน​รายงาน​นี้​แสดง​ผล​สำหรับ​พื้นที่​ที่​มี​การ​ประมาณ​จำนวน​ประชากร​ตาม {config[population][name]}</t>
        </is>
      </c>
      <c r="AE73" s="3" t="inlineStr">
        <is>
          <t>Bu raporda yer alan mekansal dağılım haritaları, {config[population][name]} nüfus tahminleri bulunan alanlara ait sonuçları göstermektedir.</t>
        </is>
      </c>
      <c r="AF73" s="3" t="inlineStr">
        <is>
          <t>Карти просторового розподілу, представлені в цьому звіті, відображають результати для територій з оцінками населення відповідно до {config[population][name]}.</t>
        </is>
      </c>
      <c r="AG73" s="3" t="inlineStr">
        <is>
          <t>Các bản đồ phân bổ không gian được trình bày  trong báo cáo này hiển thị kết quả cho các khu vực ước tính dân số theo {config[population][name]}.</t>
        </is>
      </c>
    </row>
    <row r="74" ht="45" customHeight="1">
      <c r="A74" s="15" t="inlineStr">
        <is>
          <t>template</t>
        </is>
      </c>
      <c r="B74" s="15" t="inlineStr">
        <is>
          <t>hero_alt</t>
        </is>
      </c>
      <c r="C74" s="9" t="inlineStr">
        <is>
          <t>Please provide a high resolution 'hero image' photo showing a convivial, walkable city street or public space for this city, ideally in .jpg format with dimensions in the ratio of 21:10 (e.g. 2100px by 1000px)</t>
        </is>
      </c>
      <c r="D74"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is>
      </c>
      <c r="E74" s="8" t="inlineStr">
        <is>
          <t>Si us plau, proporcioneu una foto icònica d'alta resolució que mostri un carrer o espai públic convivencial i caminable en aquesta ciutat, idealment en format .jpg amb dimensions de 21:10 (per exemple, 2100px per 1000px)</t>
        </is>
      </c>
      <c r="F74" s="9" t="inlineStr">
        <is>
          <t>请提供一张高分辨率的"主题图片",展示这座城市宜人、适合步行的城市街道或公共空间,最好是尺寸比例为21:10的.jpg格式(例如2100像素x1000像素)。</t>
        </is>
      </c>
      <c r="G74" s="8" t="inlineStr">
        <is>
          <t>請提供一張高解析度的"主題圖片",展示這座城市宜人、適合步行的城市街道或公共空間,最好是尺寸比例為21:10的.jpg格式(例如2100像素x1000像素)。</t>
        </is>
      </c>
      <c r="H74" s="16" t="inlineStr">
        <is>
          <t>Molimo dostavite fotografiju visoke rezolucije "slike heroja" koja prikazuje društvenu gradsku ulicu ili javni prostor za šetnju u ovom gradu, idealno u .jpg formatu s dimenzijama u omjeru 21:10 (npr. 2100px x 1000px)</t>
        </is>
      </c>
      <c r="I74" s="8" t="inlineStr">
        <is>
          <t>Poskytněte prosím fotografii "hlavního obrázku" ve vysokém rozlišení, která zobrazuje příjemnou, pěší městskou třídu nebo veřejný prostor tohoto města, ideálně ve formátu .jpg s rozměry v poměru 21:10 (např. 2100px na 1000px).</t>
        </is>
      </c>
      <c r="J74" s="16" t="inlineStr">
        <is>
          <t>Angiv venligst et billede i høj opløsning af 'heltebillede', der viser en hyggelig, walkable by street eller offentlige rum til denne by, ideelt i .jpg format med dimensioner i forholdet mellem 21:10 (f.eks. 2100px ved 1000px)</t>
        </is>
      </c>
      <c r="K74" s="16" t="inlineStr">
        <is>
          <t>Voorzie hier een 'hero image' foto met hoge resolutie van een gezellige, bewegingsvriendelijke straat of publieke open ruimte in deze stad. Idealiter in .jpg formaat met afmetingen in een 21:10 verhouding (vb. 2100px op 1000px)</t>
        </is>
      </c>
      <c r="L74" s="8" t="inlineStr">
        <is>
          <t>Lisää kuva, jossa näkyy viihtyisä, kävelykelpoinen katu tai julkinen tila tältä kaupunkialueelta, mieluiten .jpg-muodossa, jonka mitat ovat 21:10 (esim. 2100 x 1000 pikseliä).</t>
        </is>
      </c>
      <c r="M74" s="8" t="inlineStr">
        <is>
          <t>Veuillez fournir une photo « image de héros » haute résolution montrant une rue ou un espace public convivial et accessible à pied pour cette ville, idéalement au format .jpg avec des dimensions dans un rapport de 21:10 (par exemple 2 100 px par 1 000 px)</t>
        </is>
      </c>
      <c r="N74" s="8" t="inlineStr">
        <is>
          <t>Bitte stellen Sie ein hochauflösendes Foto zur Verfügung, das eine gesellige, begehbare Straße oder einen öffentlichen Raum für diese Stadt zeigt, idealerweise in .jpg Format mit Abmessungen im Verhältnis 21:10 (z. B. 2100px x 1000px)</t>
        </is>
      </c>
      <c r="O74"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is>
      </c>
      <c r="P74" s="8" t="inlineStr">
        <is>
          <t>Da fatan za a ba da babban hoton 'hoton gwarzo' wanda ke nuna wani titin birni, mai iya tafiya ko filin jama'a don wannan birni, da kyau a cikin tsarin jpg tare da girma a cikin rabo na 21:10 (misali 2100px ta 1000px)</t>
        </is>
      </c>
      <c r="Q74"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is>
      </c>
      <c r="R74" s="8" t="inlineStr">
        <is>
          <t>Harap berikan foto 'gambar pahlawan' beresolusi tinggi yang menunjukkan jalan kota atau ruang publik yang ramah dan dapat dilalui untuk berjalan kaki di kota ini, idealnya dalam format .jpg dengan dimensi dalam rasio 21:10 (misalnya 2100px kali 1000px)</t>
        </is>
      </c>
      <c r="S74" s="8" t="inlineStr">
        <is>
          <t>Fornisci una foto "hero image" ad alta risoluzione che mostri una strada vivace e pedonale o uno spazio pubblico per questa città, idealmente in formato .jpg con dimensioni in rapporto 21:10 (ad esempio 2100px per 1000px)</t>
        </is>
      </c>
      <c r="T74" s="3" t="inlineStr">
        <is>
          <t>この都市の賑わうウォーカブルな街路または公共スペースを示す高解像度の「ヒーロー イメージ」写真を、理想的には21:10の比率の.jpg形式 (例: 2100px x 1000px) で提供してください。</t>
        </is>
      </c>
      <c r="U74" s="3" t="inlineStr">
        <is>
          <t xml:space="preserve">이 도시의 활기차고 걷기 좋은 거리 또는 공공 장소를 보여주는 고해상도 '대표 이미지' 사진을 제공해 주세요. 이상적으로 21:10 비율(예: 2100픽셀 x 1000픽셀)의 jpg 형식으로 부탁드립니다. </t>
        </is>
      </c>
      <c r="V74" s="3" t="inlineStr">
        <is>
          <t>Homai koa he whakaahua 'whakaahua toa' taumira teitei e whakaatu ana i te tiriti o te taone nui e taea ana te hikoi, i te waahi whanui ranei mo tenei taone nui, he ahua pai ki te whakatakotoranga .jpg me te rahi o te 21:10 (hei tauira, 2100px ki te 1000px)</t>
        </is>
      </c>
      <c r="W74" s="3" t="inlineStr">
        <is>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is>
      </c>
      <c r="X74" s="44" t="inlineStr">
        <is>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is>
      </c>
      <c r="Y74" s="3" t="inlineStr">
        <is>
          <t>Por favor, forneça uma imagem principal / imagem em destaque de alta resolução mostrando uma rua ou espaço público sociável e caminhável para esta cidade, idealmente em formato .jpg com dimensões na proporção de 21:10 (por exemplo, 2100px por 1000px)</t>
        </is>
      </c>
      <c r="Z74" s="3" t="inlineStr">
        <is>
          <t>Por favor, forneça uma foto de " hero image" de alta resolução mostrando um convívio, walkable city steet ou espaço público para esta cidade, idealmente em .jpg formato com dimensões na proporção de 21:10 (por exemplo, 2100px por 1000px)</t>
        </is>
      </c>
      <c r="AA74" s="3" t="inlineStr">
        <is>
          <t>Proporcione una foto de alta resolución que muestre una calle o un espacio público agradable y transitable de esta ciudad, preferiblemente en formato .jpg con unas dimensiones de 21:10 (p. ej., 2100px por 1000px).</t>
        </is>
      </c>
      <c r="AB74" s="3" t="inlineStr">
        <is>
          <t>Por favor, proporcionad una imagen icónica de alta resolución que muestre una calle o un espacio público agradable y caminable en esta ciudad, idealmente en formato .jpg con las proporciones 21:10 (por ejemplo, 2100px por 1000px)</t>
        </is>
      </c>
      <c r="AC74" s="3" t="inlineStr">
        <is>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is>
      </c>
      <c r="AD74" s="3" t="inlineStr">
        <is>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is>
      </c>
      <c r="AE74" s="3" t="inlineStr">
        <is>
          <t>Lütfen bu şehir için canlı ve yürünebilir bir caddeyi veya kamusal alanı gösteren yüksek çözünürlüklü bir 'manşet fotoğrafı' ekleyin. İdeal olarak JPG formatında, 21:10 boyutlarında (ör. 2100x1000 piksel) olmalıdır.</t>
        </is>
      </c>
      <c r="AF74" s="3" t="inlineStr">
        <is>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is>
      </c>
      <c r="AG74"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is>
      </c>
    </row>
    <row r="75" ht="90" customHeight="1">
      <c r="A75" s="15" t="inlineStr">
        <is>
          <t>template</t>
        </is>
      </c>
      <c r="B75" s="15" t="inlineStr">
        <is>
          <t>hero_alt_2</t>
        </is>
      </c>
      <c r="C75" s="9" t="inlineStr">
        <is>
          <t>Please provide a high resolution 'hero image' photo showing a convivial, walkable city street or public space for this city, ideally in .jpg format with dimensions in the ratio of 1:1 (e.g. 1000px by 1000px)</t>
        </is>
      </c>
      <c r="D75"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is>
      </c>
      <c r="E75" s="8" t="inlineStr">
        <is>
          <t>Si us plau, proporcioneu una foto icònica d'alta resolució que mostri un carrer o espai públic convivencial i caminable en aquesta ciutat, idealment en format .jpg amb dimensions de 1:1 (per exemple, 1000px per 1000px)</t>
        </is>
      </c>
      <c r="F75" s="9" t="inlineStr">
        <is>
          <t>请提供一张高分辨率的"主题图片",展示这座城市宜人、适合步行的城市街道或公共空间,最好是尺寸比例为1:1的.jpg格式(例如1000像素x1000像素)。</t>
        </is>
      </c>
      <c r="G75" s="8" t="inlineStr">
        <is>
          <t>請提供一張高解析度的"主題圖片",展示這座城市宜人、適合步行的城市街道或公共空間,最好是尺寸比例為1:1的.jpg格式(例如1000像素x1000像素)。</t>
        </is>
      </c>
      <c r="H75" s="16" t="inlineStr">
        <is>
          <t>Molimo dostavite fotografiju visoke rezolucije "slike heroja" koja prikazuje društvenu, prohodnu gradsku ulicu ili javni prostor za ovaj grad, idealno u .jpg formatu s dimenzijama u omjeru 1:1 (npr. 1000px x 1000px)</t>
        </is>
      </c>
      <c r="I75" s="8" t="inlineStr">
        <is>
          <t>Poskytněte prosím fotografii "hlavního obrázku" ve vysokém rozlišení, která zobrazuje příjemnou, pěší městskou třídu nebo veřejný prostor tohoto města, ideálně ve formátu .jpg s rozměry v poměru 1:1 (např. 1000px na 1000px).</t>
        </is>
      </c>
      <c r="J75" s="16" t="inlineStr">
        <is>
          <t>Angiv venligst et billede i høj opløsning af 'heltebillede', der viser en hyggelig, walkable by street eller offentlige rum til denne by, ideelt i .jpg format med dimensioner i forholdet 1:1 (f.eks. 1000px ved 1000px)</t>
        </is>
      </c>
      <c r="K75" s="16" t="inlineStr">
        <is>
          <t>Voorzie hier een 'hero image' foto van een gezellige, bewegingsvriendelijke straat of publieke open ruimte in deze stad. Idealiter in .jpg formaat met afmetingen in een 1:1 verhouding (vb. 1000 px op 1000 px)</t>
        </is>
      </c>
      <c r="L75" s="8" t="inlineStr">
        <is>
          <t>Lisää kuva, jossa näkyy viihtyisä, kävelykelpoinen katu tai julkinen tila tältä kaupunkialueelta, mieluiten .jpg-muodossa, jonka mitat ovat 1:1 (esim. 1000 x 1000 pikseliä).</t>
        </is>
      </c>
      <c r="M75" s="8" t="inlineStr">
        <is>
          <t>Veuillez fournir une photo "image de héros" haute résolution montrant une rue ou un espace public convivial et accessible à pied pour cette ville, idéalement au format .jpg avec des dimensions dans un rapport de 1:1 (par exemple 1 000 px par 1 000 px).</t>
        </is>
      </c>
      <c r="N75" s="8" t="inlineStr">
        <is>
          <t>Bitte stellen Sie ein hochauflösendes Foto zur Verfügung, das eine gesellige, begehbare Straße oder einen öffentlichen Raum für diese Stadt zeigt, idealerweise in .jpg Format mit Abmessungen im Verhältnis 1: 1 (z. B. 1000px x 1000px)</t>
        </is>
      </c>
      <c r="O75"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is>
      </c>
      <c r="P75" s="8" t="inlineStr">
        <is>
          <t>Da fatan za a ba da babban hoton 'hoton gwarzo' wanda ke nuna wani titin birni, mai iya tafiya ko filin jama'a don wannan birni, da kyau a cikin tsarin jpg mai girma a cikin rabo na 1:1 (misali 1000px ta 1000px)</t>
        </is>
      </c>
      <c r="Q75"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is>
      </c>
      <c r="R75" s="8" t="inlineStr">
        <is>
          <t>Harap berikan foto 'gambar pahlawan' beresolusi tinggi yang menunjukkan jalan kota atau ruang publik yang nyaman dan dapat dilalui untuk berjalan kaki di kota ini, idealnya dalam format .jpg dengan dimensi dalam rasio 1:1 (misalnya 1000px kali 1000px)</t>
        </is>
      </c>
      <c r="S75" s="8" t="inlineStr">
        <is>
          <t>Fornisci una foto "hero image" ad alta risoluzione che mostri una strada vivace e pedonale o uno spazio pubblico per questa città, idealmente in formato .jpg con dimensioni in rapporto 1:1 (ad esempio 1000px per 1000px)</t>
        </is>
      </c>
      <c r="T75" s="3" t="inlineStr">
        <is>
          <t>この都市の賑わうウォーカブルな街路または公共スペースを示す高解像度の「ヒーローイメージ」写真を、理想的には1:1の寸法 (例: 1000px x 1000px) の.jpg形式で提供してください。</t>
        </is>
      </c>
      <c r="U75" s="3" t="inlineStr">
        <is>
          <t xml:space="preserve">이 도시의 활기차고 걷기 좋은 거리 또는 공공 장소를 보여주는 고해상도 '대표 이미지' 사진을 제공해 주세요. 이상적으로 1:1 비율(예: 1000픽셀 x 1000픽셀)의 jpg 형식으로 부탁드립니다. </t>
        </is>
      </c>
      <c r="V75" s="3" t="inlineStr">
        <is>
          <t>Tukuna mai he whakaahua 'whakaahua toa' taumira teitei e whakaatu ana i te tiriti o te taone nui e taea ana te hikoi, i te waahi whanui ranei mo tenei taone nui, he pai rawa ki te whakatakotoranga .jpg me nga inenga o te 1:1 (hei tauira, 1000px ki te 1000px)</t>
        </is>
      </c>
      <c r="W75" s="3" t="inlineStr">
        <is>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is>
      </c>
      <c r="X75" s="44" t="inlineStr">
        <is>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is>
      </c>
      <c r="Y75" s="3" t="inlineStr">
        <is>
          <t>Por favor, forneça uma imagem principal / imagem em destaque de alta resolução mostrando uma rua ou espaço público sociável e caminhável para esta cidade, idealmente em formato .jpg com dimensões na proporção de 1:1 (por exemplo, 1000px por 1000px)</t>
        </is>
      </c>
      <c r="Z75" s="3" t="inlineStr">
        <is>
          <t>Por favor, forneça uma foto de "i hero image" de alta resolução mostrando um convívio, um espaço público ambulante e urbano para esta cidade, idealmente em formato .jpg com dimensões na proporção de 1:1 (por exemplo, 1000px por 1000px)</t>
        </is>
      </c>
      <c r="AA75" s="3" t="inlineStr">
        <is>
          <t>Proporcione una foto de alta resolución que muestre una calle o un espacio público agradable y transitable de esta ciudad, preferiblemente en formato .jpg con unas dimensiones de 1:1 (p. ej., 1000px by 1000px)</t>
        </is>
      </c>
      <c r="AB75" s="3" t="inlineStr">
        <is>
          <t>Por favor, proporcionad una imagen icónica de alta resolución que muestre una calle o un espacio público agradable y caminable en esta ciudad, idealmente en formato .jpg con las proporciones 1:1 (por ejemplo, 1000px por 1000px)</t>
        </is>
      </c>
      <c r="AC75" s="3" t="inlineStr">
        <is>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is>
      </c>
      <c r="AD75" s="3" t="inlineStr">
        <is>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is>
      </c>
      <c r="AE75" s="3" t="inlineStr">
        <is>
          <t>Lütfen bu şehir için canlı ve yürünebilir bir caddeyi veya kamusal alanı gösteren yüksek çözünürlüklü bir 'manşet fotoğrafı' ekleyin. İdeal olarak JPG formatında, 1:1 boyutlarında (ör. 1000x1000 piksel) olmalıdır.</t>
        </is>
      </c>
      <c r="AF75" s="3" t="inlineStr">
        <is>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is>
      </c>
      <c r="AG75"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is>
      </c>
    </row>
    <row r="76" ht="120" customHeight="1">
      <c r="A76" s="15" t="inlineStr">
        <is>
          <t>template</t>
        </is>
      </c>
      <c r="B76" s="15" t="inlineStr">
        <is>
          <t>policy_spatial_intro</t>
        </is>
      </c>
      <c r="C76" s="9" t="inlineStr">
        <is>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is>
      </c>
      <c r="D76"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is>
      </c>
      <c r="E76" s="8" t="inlineStr">
        <is>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is>
      </c>
      <c r="F76" s="9" t="inlineStr">
        <is>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is>
      </c>
      <c r="G76" s="8" t="inlineStr">
        <is>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is>
      </c>
      <c r="H76" s="16" t="inlineStr">
        <is>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is>
      </c>
      <c r="I76" s="8" t="inlineStr">
        <is>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is>
      </c>
      <c r="J76" s="16" t="inlineStr">
        <is>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is>
      </c>
      <c r="K76" s="16" t="inlineStr">
        <is>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is>
      </c>
      <c r="L76" s="8" t="inlineStr">
        <is>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is>
      </c>
      <c r="M76"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is>
      </c>
      <c r="N76" s="8" t="inlineStr">
        <is>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is>
      </c>
      <c r="O76" s="8" t="inlineStr">
        <is>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6" s="8" t="inlineStr">
        <is>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is>
      </c>
      <c r="Q76"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6" s="8" t="inlineStr">
        <is>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is>
      </c>
      <c r="S76" s="8" t="inlineStr">
        <is>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is>
      </c>
      <c r="T76" s="3" t="inlineStr">
        <is>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is>
      </c>
      <c r="U76" s="3" t="inlineStr">
        <is>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is>
      </c>
      <c r="V76" s="3" t="inlineStr">
        <is>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is>
      </c>
      <c r="W76" s="3" t="inlineStr">
        <is>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6" s="44" t="inlineStr">
        <is>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is>
      </c>
      <c r="Y76" s="3" t="inlineStr">
        <is>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is>
      </c>
      <c r="Z76" s="3" t="inlineStr">
        <is>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is>
      </c>
      <c r="AA76" s="3" t="inlineStr">
        <is>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is>
      </c>
      <c r="AB76" s="3" t="inlineStr">
        <is>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is>
      </c>
      <c r="AC76" s="3" t="inlineStr">
        <is>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6"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6" s="3" t="inlineStr">
        <is>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is>
      </c>
      <c r="AF76" s="3" t="inlineStr">
        <is>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6" s="3" t="inlineStr">
        <is>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7" ht="120" customHeight="1">
      <c r="A77" s="15" t="inlineStr">
        <is>
          <t>template</t>
        </is>
      </c>
      <c r="B77" s="15" t="inlineStr">
        <is>
          <t>policy_intro</t>
        </is>
      </c>
      <c r="C77" s="9" t="inlineStr">
        <is>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is>
      </c>
      <c r="D77" s="8" t="inlineStr">
        <is>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is>
      </c>
      <c r="E77" s="8" t="inlineStr">
        <is>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is>
      </c>
      <c r="F77" s="9" t="inlineStr">
        <is>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is>
      </c>
      <c r="G77" s="8" t="inlineStr">
        <is>
          <t>本報告概述了{city_name} 在一系列健康與永續城市指標上的表現。作為 1000 個城市挑戰賽的一部分，我們檢視了促進健康和永續發展的城市規劃政策的存在和品質。研究結果可以為當地城市政策所需的改變提供資訊依據。</t>
        </is>
      </c>
      <c r="H77" s="16" t="inlineStr">
        <is>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is>
      </c>
      <c r="I77" s="8" t="inlineStr">
        <is>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is>
      </c>
      <c r="J77" s="16" t="inlineStr">
        <is>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is>
      </c>
      <c r="K77" s="24" t="inlineStr">
        <is>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is>
      </c>
      <c r="L77" s="8" t="inlineStr">
        <is>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is>
      </c>
      <c r="M77" s="8" t="inlineStr">
        <is>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is>
      </c>
      <c r="N77" s="8" t="inlineStr">
        <is>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is>
      </c>
      <c r="O77" s="8" t="inlineStr">
        <is>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is>
      </c>
      <c r="P77" s="8" t="inlineStr">
        <is>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is>
      </c>
      <c r="Q77" s="8" t="inlineStr">
        <is>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is>
      </c>
      <c r="R77" s="8" t="inlineStr">
        <is>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is>
      </c>
      <c r="S77" s="8" t="inlineStr">
        <is>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is>
      </c>
      <c r="T77" s="3" t="inlineStr">
        <is>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is>
      </c>
      <c r="U77" s="3" t="inlineStr">
        <is>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is>
      </c>
      <c r="V77" s="3" t="inlineStr">
        <is>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is>
      </c>
      <c r="W77" s="3" t="inlineStr">
        <is>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is>
      </c>
      <c r="X77" s="44" t="inlineStr">
        <is>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is>
      </c>
      <c r="Y77" s="3" t="inlineStr">
        <is>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is>
      </c>
      <c r="Z77" s="3" t="inlineStr">
        <is>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is>
      </c>
      <c r="AA77" s="3" t="inlineStr">
        <is>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is>
      </c>
      <c r="AB77" s="3" t="inlineStr">
        <is>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is>
      </c>
      <c r="AC77" s="3" t="inlineStr">
        <is>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is>
      </c>
      <c r="AD77" s="3" t="inlineStr">
        <is>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is>
      </c>
      <c r="AE77" s="3" t="inlineStr">
        <is>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is>
      </c>
      <c r="AF77" s="3" t="inlineStr">
        <is>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is>
      </c>
      <c r="AG77" s="3" t="inlineStr">
        <is>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is>
      </c>
    </row>
    <row r="78" ht="390" customHeight="1">
      <c r="A78" s="15" t="inlineStr">
        <is>
          <t>template</t>
        </is>
      </c>
      <c r="B78" s="15" t="inlineStr">
        <is>
          <t>spatial_intro</t>
        </is>
      </c>
      <c r="C78" s="9" t="inlineStr">
        <is>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is>
      </c>
      <c r="D78"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is>
      </c>
      <c r="E78" s="8" t="inlineStr">
        <is>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is>
      </c>
      <c r="F78" s="9" t="inlineStr">
        <is>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is>
      </c>
      <c r="G78" s="8" t="inlineStr">
        <is>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is>
      </c>
      <c r="H78" s="16" t="inlineStr">
        <is>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is>
      </c>
      <c r="I78" s="8" t="inlineStr">
        <is>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is>
      </c>
      <c r="J78" s="16" t="inlineStr">
        <is>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is>
      </c>
      <c r="K78" s="20" t="inlineStr">
        <is>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is>
      </c>
      <c r="L78" s="8" t="inlineStr">
        <is>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is>
      </c>
      <c r="M78"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is>
      </c>
      <c r="N78" s="8" t="inlineStr">
        <is>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is>
      </c>
      <c r="O78" s="8" t="inlineStr">
        <is>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8" s="8" t="inlineStr">
        <is>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is>
      </c>
      <c r="Q78"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8" s="8" t="inlineStr">
        <is>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is>
      </c>
      <c r="S78" s="8" t="inlineStr">
        <is>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is>
      </c>
      <c r="T78" s="3" t="inlineStr">
        <is>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is>
      </c>
      <c r="U78" s="3" t="inlineStr">
        <is>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is>
      </c>
      <c r="V78" s="3" t="inlineStr">
        <is>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is>
      </c>
      <c r="W78" s="3" t="inlineStr">
        <is>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8" s="44" t="inlineStr">
        <is>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is>
      </c>
      <c r="Y78" s="3" t="inlineStr">
        <is>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is>
      </c>
      <c r="Z78" s="3" t="inlineStr">
        <is>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is>
      </c>
      <c r="AA78" s="3" t="inlineStr">
        <is>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is>
      </c>
      <c r="AB78" s="3" t="inlineStr">
        <is>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is>
      </c>
      <c r="AC78" s="3" t="inlineStr">
        <is>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8"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8" s="3" t="inlineStr">
        <is>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is>
      </c>
      <c r="AF78" s="3" t="inlineStr">
        <is>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8" s="3" t="inlineStr">
        <is>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9" ht="195" customHeight="1">
      <c r="A79" s="15" t="inlineStr">
        <is>
          <t>template</t>
        </is>
      </c>
      <c r="B79" s="15" t="inlineStr">
        <is>
          <t>access_profile_text</t>
        </is>
      </c>
      <c r="C79" s="9" t="inlineStr">
        <is>
          <t>Percentage of population with access to amenities within 400 metres (m)</t>
        </is>
      </c>
      <c r="D79" s="8" t="inlineStr">
        <is>
          <t>النسبة المئوية للسكان الذين يمكنهم الوصول إلى المرافق ضمن مسافة 500 متر (م2)</t>
        </is>
      </c>
      <c r="E79" s="8" t="inlineStr">
        <is>
          <t>Percentatge de població amb accés a serveis a menys de 500 metres (m)</t>
        </is>
      </c>
      <c r="F79" s="9" t="inlineStr">
        <is>
          <t>500 米范围内可到达便利设施的人口百分比</t>
        </is>
      </c>
      <c r="G79" s="8" t="inlineStr">
        <is>
          <t>500 公尺範圍內可到達便利設施的人口百分比 (m)</t>
        </is>
      </c>
      <c r="H79" s="16" t="inlineStr">
        <is>
          <t>Postotak stanovništva s pristupom sadržajima unutar 500 metara (m)</t>
        </is>
      </c>
      <c r="I79" s="8" t="inlineStr">
        <is>
          <t>Procento obyvatel s přístupem k vybavení do 500 metrů (m)</t>
        </is>
      </c>
      <c r="J79" s="16" t="inlineStr">
        <is>
          <t>Procentdel af befolkningen med adgang til faciliteter inden for 500 meter (m)</t>
        </is>
      </c>
      <c r="K79" s="16" t="inlineStr">
        <is>
          <t>Percentage van de bevolking met toegang tot voorzieningen binnen 500 meter (m)</t>
        </is>
      </c>
      <c r="L79" s="8" t="inlineStr">
        <is>
          <t>Prosenttiosuus väestöstä, jolla on pääsy palveluihin 500 metrin säteellä (m)</t>
        </is>
      </c>
      <c r="M79" s="8" t="inlineStr">
        <is>
          <t>Pourcentage de la population ayant accès aux commodités à moins de 500 mètres (m)</t>
        </is>
      </c>
      <c r="N79" s="8" t="inlineStr">
        <is>
          <t>Prozentsatz der Bevölkerung mit Zugang zu Einrichtungen im Umkreis von 500 Metern (m)</t>
        </is>
      </c>
      <c r="O79" s="8" t="inlineStr">
        <is>
          <t>Ποσοστό πληθυσμού με πρόσβαση σε ανέσεις εντός 500 μέτρων (m)</t>
        </is>
      </c>
      <c r="P79" s="8" t="inlineStr">
        <is>
          <t>Kashi na yawan jama'a tare da damar samun abubuwan more rayuwa tsakanin mita 500 (m)</t>
        </is>
      </c>
      <c r="Q79" s="8" t="inlineStr">
        <is>
          <t>500 मीटर (मीटर) के भीतर सुविधाओं तक पहुंच वाली जनसंख्या का प्रतिशत</t>
        </is>
      </c>
      <c r="R79" s="8" t="inlineStr">
        <is>
          <t>Persentase penduduk yang memiliki akses terhadap fasilitas dalam jarak 500 meter (m)</t>
        </is>
      </c>
      <c r="S79" s="8" t="inlineStr">
        <is>
          <t>Percentuale di popolazione con accesso ai servizi entro 500 metri (m)</t>
        </is>
      </c>
      <c r="T79" s="3" t="inlineStr">
        <is>
          <t>500メートル (m) 以内でアメニティにアクセスできる人口の割合</t>
        </is>
      </c>
      <c r="U79" s="3" t="inlineStr">
        <is>
          <t>500미터(m) 이내에 편의시설(어메니티)을 이용할 수 있는 인구 비율</t>
        </is>
      </c>
      <c r="V79" s="3" t="inlineStr">
        <is>
          <t>Te ōrau o te taupori e uru ana ki ngā rawa i roto i te 500 mita (m)</t>
        </is>
      </c>
      <c r="W79" s="3" t="inlineStr">
        <is>
          <t>500 मिटर (m) भित्र सुविधाहरूमा पहुँच भएको जनसंख्याको प्रतिशत</t>
        </is>
      </c>
      <c r="X79" s="44" t="inlineStr">
        <is>
          <t>درصد جمعیت با دسترسی به امکانات رفاهی در فاصله ۵۰۰ متری (متر)</t>
        </is>
      </c>
      <c r="Y79" s="3" t="inlineStr">
        <is>
          <t>Percentagem da população com acesso a oportunidades urbanas num raio de 500 metros (m)</t>
        </is>
      </c>
      <c r="Z79" s="3" t="inlineStr">
        <is>
          <t>Percentagem da população com acesso a comodidades num raio de 500 metros (m)</t>
        </is>
      </c>
      <c r="AA79" s="3" t="inlineStr">
        <is>
          <t>Porcentaje de población con acceso a servicios a 500 metros (m) o menos.</t>
        </is>
      </c>
      <c r="AB79" s="3" t="inlineStr">
        <is>
          <t>Porcentaje de población con acceso a servicios a menos de 500 metros (m)</t>
        </is>
      </c>
      <c r="AC79" s="3" t="inlineStr">
        <is>
          <t>500 மீட்டருக்குள் (மீ) வசதிகளுடன் கூடிய மக்கள்தொகை சதவீதம்</t>
        </is>
      </c>
      <c r="AD79" s="3" t="inlineStr">
        <is>
          <t>ร้อย​ละ​ของ​ประชากร​ที่​สามารถ​เข้า​ถึง​สิ่ง​อำนวย​ความ​สะดวก​ใน​ระยะ 500 เมตร (ม.)</t>
        </is>
      </c>
      <c r="AE79" s="3" t="inlineStr">
        <is>
          <t>500 metre (m) içinde imkanlara erişimi olan nüfusun yüzdesi</t>
        </is>
      </c>
      <c r="AF79" s="3" t="inlineStr">
        <is>
          <t>Відсоток населення з доступом до зручностей у межах 500 метрів (м)</t>
        </is>
      </c>
      <c r="AG79" s="3" t="inlineStr">
        <is>
          <t>Tỷ lệ dân số được tiếp cận các tiện ích trong phạm vi 500 mét (m)</t>
        </is>
      </c>
    </row>
    <row r="80" ht="300" customHeight="1">
      <c r="A80" s="15" t="inlineStr">
        <is>
          <t>template</t>
        </is>
      </c>
      <c r="B80" s="15" t="inlineStr">
        <is>
          <t>walkability_header</t>
        </is>
      </c>
      <c r="C80" s="9" t="inlineStr">
        <is>
          <t>Walkability and destination access</t>
        </is>
      </c>
      <c r="D80" s="8" t="inlineStr">
        <is>
          <t>إمكانية المشي والوصول إلى الوجهة</t>
        </is>
      </c>
      <c r="E80" s="8" t="inlineStr">
        <is>
          <t>Caminabilitat i accés a destinacions</t>
        </is>
      </c>
      <c r="F80" s="9" t="inlineStr">
        <is>
          <t>步行便利性和目的地可达性</t>
        </is>
      </c>
      <c r="G80" s="8" t="inlineStr">
        <is>
          <t>步行便利性和目的地可及性</t>
        </is>
      </c>
      <c r="H80" s="16" t="inlineStr">
        <is>
          <t>Prohodnost i pristup odredištu</t>
        </is>
      </c>
      <c r="I80" s="8" t="inlineStr">
        <is>
          <t>Pěší dostupnost a přístup k cíli</t>
        </is>
      </c>
      <c r="J80" s="16" t="inlineStr">
        <is>
          <t>Gangbarhed og destinationsadgang</t>
        </is>
      </c>
      <c r="K80" s="16" t="inlineStr">
        <is>
          <t>Beloopbaarheid en toegang tot bestemmingen</t>
        </is>
      </c>
      <c r="L80" s="8" t="inlineStr">
        <is>
          <t>Käveltävyys ja saavutettavuus</t>
        </is>
      </c>
      <c r="M80" s="8" t="inlineStr">
        <is>
          <t>Accessibilité à pied et accès à la destination</t>
        </is>
      </c>
      <c r="N80" s="8" t="inlineStr">
        <is>
          <t>Begehbarkeit und Zielzugang</t>
        </is>
      </c>
      <c r="O80" s="8" t="inlineStr">
        <is>
          <t>Δυνατότητα βάδισης και πρόσβαση στον προορισμό</t>
        </is>
      </c>
      <c r="P80" s="8" t="inlineStr">
        <is>
          <t>Tafiya da samun damar zuwa</t>
        </is>
      </c>
      <c r="Q80" s="8" t="inlineStr">
        <is>
          <t>चलने योग्यता और गंतव्य तक पहुंच</t>
        </is>
      </c>
      <c r="R80" s="8" t="inlineStr">
        <is>
          <t>Walkability dan akses tujuan</t>
        </is>
      </c>
      <c r="S80" s="8" t="inlineStr">
        <is>
          <t>Camminabilità ed accessibilità</t>
        </is>
      </c>
      <c r="T80" s="3" t="inlineStr">
        <is>
          <t>ウォーカビリティと目的地へのアクセス</t>
        </is>
      </c>
      <c r="U80" s="3" t="inlineStr">
        <is>
          <t>보행친화성 및 목적지 접근성</t>
        </is>
      </c>
      <c r="V80" s="3" t="inlineStr">
        <is>
          <t>Te hikoi me te uru ki te waahi</t>
        </is>
      </c>
      <c r="W80" s="3" t="inlineStr">
        <is>
          <t>हिड्ने क्षमता र गन्तव्य पहुँच</t>
        </is>
      </c>
      <c r="X80" s="44" t="inlineStr">
        <is>
          <t>قابلیت پیاده روی و دسترسی به مقصد</t>
        </is>
      </c>
      <c r="Y80" s="3" t="inlineStr">
        <is>
          <t>Caminhabilidade e acesso a destinos</t>
        </is>
      </c>
      <c r="Z80" s="3" t="inlineStr">
        <is>
          <t>Caminhabilidade e acesso ao destino</t>
        </is>
      </c>
      <c r="AA80" s="3" t="inlineStr">
        <is>
          <t>Caminabilidad y acceso a destinos</t>
        </is>
      </c>
      <c r="AB80" s="3" t="inlineStr">
        <is>
          <t>Caminabilidad y acceso a destinos</t>
        </is>
      </c>
      <c r="AC80" s="3" t="inlineStr">
        <is>
          <t>நடைபயிற்சி மற்றும் இலக்கு அணுகல்</t>
        </is>
      </c>
      <c r="AD80" s="3" t="inlineStr">
        <is>
          <t>ความ​สามารถ​ใน​การ​เดิน​และ​การ​เข้า​ถึง​จุดหมาย​ปลาย​ทาง</t>
        </is>
      </c>
      <c r="AE80" s="3" t="inlineStr">
        <is>
          <t>Yürünebilirlik ve destinasyon erişimi</t>
        </is>
      </c>
      <c r="AF80" s="3" t="inlineStr">
        <is>
          <t>Прохідність і доступ до пункту призначення</t>
        </is>
      </c>
      <c r="AG80" s="3" t="inlineStr">
        <is>
          <t>Khả năng đi bộ và tiếp cận các điểm đến</t>
        </is>
      </c>
    </row>
    <row r="81" ht="45" customHeight="1">
      <c r="A81" s="15" t="inlineStr">
        <is>
          <t>template</t>
        </is>
      </c>
      <c r="B81" s="15" t="inlineStr">
        <is>
          <t>policy_evaluation_text</t>
        </is>
      </c>
      <c r="C81" s="9" t="inlineStr">
        <is>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is>
      </c>
      <c r="D81" s="8" t="inlineStr">
        <is>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is>
      </c>
      <c r="E81" s="8" t="inlineStr">
        <is>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is>
      </c>
      <c r="F81" s="9" t="inlineStr">
        <is>
          <t>公共政策对于支持健康和可持续城市和社区的设计和创建至关重要。 1000 个城市挑战政策清单已用于评估符合健康和可持续城市的证据和规范的政策的存在和质量。</t>
        </is>
      </c>
      <c r="G81" s="8" t="inlineStr">
        <is>
          <t>公共政策對於支持健康和永續城市和社區的設計和創建至關重要。 1000 個城市挑戰政策清單已用於評估與健康和永續城市的證據和規範的政策的存在和品質。</t>
        </is>
      </c>
      <c r="H81" s="16" t="inlineStr">
        <is>
          <t>Javne politike ključne su za podupiranje dizajna i stvaranja zdravih i održivih gradova i susjedstava. Kontrolni popis politike izazova 1000 gradova korišten je za procjenu prisutnosti i kvalitete politika usklađenih s dokazima i načelima za zdrave i održive gradove.</t>
        </is>
      </c>
      <c r="I81" s="8" t="inlineStr">
        <is>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is>
      </c>
      <c r="J81" s="16" t="inlineStr">
        <is>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is>
      </c>
      <c r="K81" s="16" t="inlineStr">
        <is>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is>
      </c>
      <c r="L81" s="8" t="inlineStr">
        <is>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is>
      </c>
      <c r="M81" s="8" t="inlineStr">
        <is>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is>
      </c>
      <c r="N81" s="8" t="inlineStr">
        <is>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is>
      </c>
      <c r="O81" s="8" t="inlineStr">
        <is>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is>
      </c>
      <c r="P81" s="8" t="inlineStr">
        <is>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is>
      </c>
      <c r="Q81" s="8" t="inlineStr">
        <is>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is>
      </c>
      <c r="R81" s="8" t="inlineStr">
        <is>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is>
      </c>
      <c r="S81" s="8" t="inlineStr">
        <is>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is>
      </c>
      <c r="T81" s="3" t="inlineStr">
        <is>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is>
      </c>
      <c r="U81" s="3" t="inlineStr">
        <is>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is>
      </c>
      <c r="V81" s="3" t="inlineStr">
        <is>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is>
      </c>
      <c r="W81" s="3" t="inlineStr">
        <is>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is>
      </c>
      <c r="X81" s="44" t="inlineStr">
        <is>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is>
      </c>
      <c r="Y81"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Z81"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AA81" s="3" t="inlineStr">
        <is>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is>
      </c>
      <c r="AB81" s="3" t="inlineStr">
        <is>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is>
      </c>
      <c r="AC81" s="3" t="inlineStr">
        <is>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is>
      </c>
      <c r="AD81" s="3" t="inlineStr">
        <is>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is>
      </c>
      <c r="AE81" s="3" t="inlineStr">
        <is>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is>
      </c>
      <c r="AF81" s="3" t="inlineStr">
        <is>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is>
      </c>
      <c r="AG81" s="3" t="inlineStr">
        <is>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is>
      </c>
    </row>
    <row r="82" ht="30" customHeight="1">
      <c r="A82" s="15" t="inlineStr">
        <is>
          <t>template</t>
        </is>
      </c>
      <c r="B82" s="15" t="inlineStr">
        <is>
          <t>presence_text</t>
        </is>
      </c>
      <c r="C82" s="9" t="inlineStr">
        <is>
          <t>Policy presence score</t>
        </is>
      </c>
      <c r="D82" s="8" t="inlineStr">
        <is>
          <t>درجة وجود السياسة</t>
        </is>
      </c>
      <c r="E82" s="8" t="inlineStr">
        <is>
          <t>Puntuació sobre la presència de les polítiques</t>
        </is>
      </c>
      <c r="F82" s="9" t="inlineStr">
        <is>
          <t>政策存在得分</t>
        </is>
      </c>
      <c r="G82" s="8" t="inlineStr">
        <is>
          <t>政策存在得分</t>
        </is>
      </c>
      <c r="H82" s="16" t="inlineStr">
        <is>
          <t>Ocjena prisutnosti politike</t>
        </is>
      </c>
      <c r="I82" s="8" t="inlineStr">
        <is>
          <t>Skóre přítomnosti zásad</t>
        </is>
      </c>
      <c r="J82" s="16" t="inlineStr">
        <is>
          <t>Score for politiktilstedeværelse</t>
        </is>
      </c>
      <c r="K82" s="16" t="inlineStr">
        <is>
          <t>Score voor beleidsaanwezigheid</t>
        </is>
      </c>
      <c r="L82" s="8" t="inlineStr">
        <is>
          <t>Poliittisten ohjauskeinojen olemassaololuokitus</t>
        </is>
      </c>
      <c r="M82" s="8" t="inlineStr">
        <is>
          <t>Score de présence des politiques</t>
        </is>
      </c>
      <c r="N82" s="8" t="inlineStr">
        <is>
          <t>Bewertung der Richtlinienpräsenz</t>
        </is>
      </c>
      <c r="O82" s="8" t="inlineStr">
        <is>
          <t>Βαθμολογία παρουσίας πολιτικής</t>
        </is>
      </c>
      <c r="P82" s="8" t="inlineStr">
        <is>
          <t>Makin kasancewar manufa</t>
        </is>
      </c>
      <c r="Q82" s="8" t="inlineStr">
        <is>
          <t>नीति उपस्थिति स्कोर</t>
        </is>
      </c>
      <c r="R82" s="8" t="inlineStr">
        <is>
          <t>Skor kehadiran kebijakan</t>
        </is>
      </c>
      <c r="S82" s="8" t="inlineStr">
        <is>
          <t>Punteggio relativo alla presenza di una determinata politica</t>
        </is>
      </c>
      <c r="T82" s="3" t="inlineStr">
        <is>
          <t>政策存在スコア</t>
        </is>
      </c>
      <c r="U82" s="3" t="inlineStr">
        <is>
          <t>정책 유무 점수</t>
        </is>
      </c>
      <c r="V82" s="3" t="inlineStr">
        <is>
          <t>Te kaute kaupapa here</t>
        </is>
      </c>
      <c r="W82" s="3" t="inlineStr">
        <is>
          <t>नीति उपस्थिति स्कोर</t>
        </is>
      </c>
      <c r="X82" s="44" t="inlineStr">
        <is>
          <t>امتیاز وجود خط مشی</t>
        </is>
      </c>
      <c r="Y82" s="3" t="inlineStr">
        <is>
          <t>Pontuação de presença de política</t>
        </is>
      </c>
      <c r="Z82" s="3" t="inlineStr">
        <is>
          <t>Pontuação de presença de política</t>
        </is>
      </c>
      <c r="AA82" s="3" t="inlineStr">
        <is>
          <t>Puntuación de presencia de políticas</t>
        </is>
      </c>
      <c r="AB82" s="3" t="inlineStr">
        <is>
          <t>Puntuación sobre la presencia de políticas</t>
        </is>
      </c>
      <c r="AC82" s="3" t="inlineStr">
        <is>
          <t>பாலிசி இருப்பு மதிப்பெண்</t>
        </is>
      </c>
      <c r="AD82" s="3" t="inlineStr">
        <is>
          <t>คะแนน​แสดง​การ​มี​อยู่​ของ​นโยบาย</t>
        </is>
      </c>
      <c r="AE82" s="3" t="inlineStr">
        <is>
          <t>Politika varlığı skoru</t>
        </is>
      </c>
      <c r="AF82" s="3" t="inlineStr">
        <is>
          <t>Оцінка присутності політики</t>
        </is>
      </c>
      <c r="AG82" s="3" t="inlineStr">
        <is>
          <t>Điểm số cho sự hiện diện chính sách</t>
        </is>
      </c>
    </row>
    <row r="83" ht="180" customHeight="1">
      <c r="A83" s="15" t="inlineStr">
        <is>
          <t>template</t>
        </is>
      </c>
      <c r="B83" s="15" t="inlineStr">
        <is>
          <t>presence_description</t>
        </is>
      </c>
      <c r="C83" s="9" t="inlineStr">
        <is>
          <t>Presence of urban and transport policies supporting health and sustainability</t>
        </is>
      </c>
      <c r="D83" s="8" t="inlineStr">
        <is>
          <t>وجود سياسات حضرية وسياسات نقل تدعم الصحة والاستدامة</t>
        </is>
      </c>
      <c r="E83" s="8" t="inlineStr">
        <is>
          <t>Presència de polítiques urbanes i de transport de suport a la salut i la sostenibilitat</t>
        </is>
      </c>
      <c r="F83" s="9" t="inlineStr">
        <is>
          <t>存在支持健康和可持续发展的城市和交通政策</t>
        </is>
      </c>
      <c r="G83" s="8" t="inlineStr">
        <is>
          <t>存在支持健康和永續發展的城市和交通政策</t>
        </is>
      </c>
      <c r="H83" s="16" t="inlineStr">
        <is>
          <t>Prisutnost urbanih i prometnih politika koje podržavaju zdravlje i održivost</t>
        </is>
      </c>
      <c r="I83" s="8" t="inlineStr">
        <is>
          <t>Přítomnost městských a dopravních politik podporujících zdraví a udržitelnost</t>
        </is>
      </c>
      <c r="J83" s="16" t="inlineStr">
        <is>
          <t>Tilstedeværelse af by- og transportpolitikker, der understøtter sundhed og bæredygtighed</t>
        </is>
      </c>
      <c r="K83" s="16" t="inlineStr">
        <is>
          <t>Aanwezigheid van stedelijk en transportbeleid ter ondersteuning van gezondheid en duurzaamheid</t>
        </is>
      </c>
      <c r="L83" s="8" t="inlineStr">
        <is>
          <t>Terveellisyyttä ja kestävyyttä tukevan kaupunkisuunnittelun ja liikenteen politiikkadokumentin tai muiden yksittäisten poliittisten ohjauskeinojen olemassaolo</t>
        </is>
      </c>
      <c r="M83" s="8" t="inlineStr">
        <is>
          <t>Présence de politiques urbaines et de transport soutenant la santé et la durabilité</t>
        </is>
      </c>
      <c r="N83" s="8" t="inlineStr">
        <is>
          <t>Vorhandensein einer Stadt- und Verkehrspolitik, die Gesundheit und Nachhaltigkeit unterstützt</t>
        </is>
      </c>
      <c r="O83" s="8" t="inlineStr">
        <is>
          <t>Παρουσία αστικών πολιτικών και πολιτικών μεταφορών που υποστηρίζουν την υγεία και τη βιωσιμότητα</t>
        </is>
      </c>
      <c r="P83" s="8" t="inlineStr">
        <is>
          <t>Kasancewar manufofin birane da sufuri masu tallafawa lafiya da dorewa</t>
        </is>
      </c>
      <c r="Q83" s="8" t="inlineStr">
        <is>
          <t>स्वास्थ्य और स्थिरता का समर्थन करने वाली शहरी और परिवहन नीतियों की उपस्थिति</t>
        </is>
      </c>
      <c r="R83" s="8" t="inlineStr">
        <is>
          <t>Adanya kebijakan perkotaan dan transportasi yang mendukung kesehatan dan keberlanjutan</t>
        </is>
      </c>
      <c r="S83" s="8" t="inlineStr">
        <is>
          <t>Presenza di politiche urbanistiche e dei trasporti a supporto della salute e della sostenibilità</t>
        </is>
      </c>
      <c r="T83" s="3" t="inlineStr">
        <is>
          <t>健康と持続可能性をサポートする都市・交通政策の存在</t>
        </is>
      </c>
      <c r="U83" s="3" t="inlineStr">
        <is>
          <t>건강과 지속가능성을 지원하는 도시 및 교통 정책의 유무</t>
        </is>
      </c>
      <c r="V83" s="3" t="inlineStr">
        <is>
          <t>Te aroaro o nga kaupapa here mo nga taone me nga waka e tautoko ana i te hauora me te oranga tonutanga</t>
        </is>
      </c>
      <c r="W83" s="3" t="inlineStr">
        <is>
          <t>स्वास्थ्य र दिगोपनलाई समर्थन गर्ने सहरी र यातायात नीतिहरूको उपस्थिति</t>
        </is>
      </c>
      <c r="X83" s="44" t="inlineStr">
        <is>
          <t>وجود سیاست های شهری و حمل و نقل حامی سلامت و پایداری</t>
        </is>
      </c>
      <c r="Y83" s="3" t="inlineStr">
        <is>
          <t>Presença de políticas urbanas e de transporte que apoiam a saúde e a sustentabilidade</t>
        </is>
      </c>
      <c r="Z83" s="3" t="inlineStr">
        <is>
          <t>Presença de políticas urbanas e de transporte que apoiam a saúde e a sustentabilidade</t>
        </is>
      </c>
      <c r="AA83" s="3" t="inlineStr">
        <is>
          <t>Presencia de políticas urbanas y de transporte que apoyen la salud y la sostenibilidad</t>
        </is>
      </c>
      <c r="AB83" s="3" t="inlineStr">
        <is>
          <t>Presencia de políticas urbanas y de transporte que apoyen la salud y la sostenibilidad</t>
        </is>
      </c>
      <c r="AC83" s="3" t="inlineStr">
        <is>
          <t>சுகாதாரம் மற்றும் நிலைத்தன்மையை ஆதரிக்கும் நகர்ப்புற மற்றும் போக்குவரத்துக் கொள்கைகளின் இருப்பு</t>
        </is>
      </c>
      <c r="AD83" s="3" t="inlineStr">
        <is>
          <t>การ​มี​อยู่​ของ​นโยบาย​เมือง​และ​การ​ขน​ส่ง​ที่​สนับสนุน​สุขภาพ​และ​ความ​ยั่งยืน</t>
        </is>
      </c>
      <c r="AE83" s="3" t="inlineStr">
        <is>
          <t>Sağlık ve sürdürülebilirliği destekleyen kent ve ulaşım politikalarının varlığı</t>
        </is>
      </c>
      <c r="AF83" s="3" t="inlineStr">
        <is>
          <t>Наявність міської та транспортної політики, що підтримує здоров'я та стійкість</t>
        </is>
      </c>
      <c r="AG83" s="3" t="inlineStr">
        <is>
          <t>Sự hiện diện của các chính sách đô thị và giao thông hỗ trợ sức khỏe và tính bền vững</t>
        </is>
      </c>
    </row>
    <row r="84" ht="30" customHeight="1">
      <c r="A84" s="15" t="inlineStr">
        <is>
          <t>template</t>
        </is>
      </c>
      <c r="B84" s="15" t="inlineStr">
        <is>
          <t>quality_text</t>
        </is>
      </c>
      <c r="C84" s="9" t="inlineStr">
        <is>
          <t>Policy quality score</t>
        </is>
      </c>
      <c r="D84" s="8" t="inlineStr">
        <is>
          <t>نقاط جودة السياسة</t>
        </is>
      </c>
      <c r="E84" s="8" t="inlineStr">
        <is>
          <t>Puntuació sobre la qualitat de les polítiques</t>
        </is>
      </c>
      <c r="F84" s="9" t="inlineStr">
        <is>
          <t>政策质量得分</t>
        </is>
      </c>
      <c r="G84" s="8" t="inlineStr">
        <is>
          <t>政策品質得分</t>
        </is>
      </c>
      <c r="H84" s="16" t="inlineStr">
        <is>
          <t>Ocjena kvalitete politike</t>
        </is>
      </c>
      <c r="I84" s="8" t="inlineStr">
        <is>
          <t>Skóre kvality zásad</t>
        </is>
      </c>
      <c r="J84" s="16" t="inlineStr">
        <is>
          <t>Politikkvalitetsscore</t>
        </is>
      </c>
      <c r="K84" s="16" t="inlineStr">
        <is>
          <t>Kwaliteitsscore van beleid</t>
        </is>
      </c>
      <c r="L84" s="8" t="inlineStr">
        <is>
          <t>Poliittisten ohajuskeinojen laatuluokitus</t>
        </is>
      </c>
      <c r="M84" s="8" t="inlineStr">
        <is>
          <t>Score de qualité des politiques</t>
        </is>
      </c>
      <c r="N84" s="8" t="inlineStr">
        <is>
          <t>Qualitätsbewertung der Richtlinie</t>
        </is>
      </c>
      <c r="O84" s="8" t="inlineStr">
        <is>
          <t>Βαθμολογία ποιότητας πολιτικής</t>
        </is>
      </c>
      <c r="P84" s="8" t="inlineStr">
        <is>
          <t>Maki ingancin manufofin</t>
        </is>
      </c>
      <c r="Q84" s="8" t="inlineStr">
        <is>
          <t>नीति गुणवत्ता स्कोर</t>
        </is>
      </c>
      <c r="R84" s="8" t="inlineStr">
        <is>
          <t>Skor kualitas kebijakan</t>
        </is>
      </c>
      <c r="S84" s="8" t="inlineStr">
        <is>
          <t>Punteggio relativo alla qualità di una determinata politica</t>
        </is>
      </c>
      <c r="T84" s="3" t="inlineStr">
        <is>
          <t>政策品質スコア</t>
        </is>
      </c>
      <c r="U84" s="3" t="inlineStr">
        <is>
          <t>정책 수준 점수</t>
        </is>
      </c>
      <c r="V84" s="3" t="inlineStr">
        <is>
          <t>Tohu kounga kaupapa here</t>
        </is>
      </c>
      <c r="W84" s="3" t="inlineStr">
        <is>
          <t>नीति गुणस्तर स्कोर</t>
        </is>
      </c>
      <c r="X84" s="44" t="inlineStr">
        <is>
          <t>امتیاز کیفیت خط مشی</t>
        </is>
      </c>
      <c r="Y84" s="3" t="inlineStr">
        <is>
          <t>Índice de qualidade da política</t>
        </is>
      </c>
      <c r="Z84" s="3" t="inlineStr">
        <is>
          <t>Índice de qualidade da política</t>
        </is>
      </c>
      <c r="AA84" s="3" t="inlineStr">
        <is>
          <t>Puntuación de calidad de las políticas</t>
        </is>
      </c>
      <c r="AB84" s="3" t="inlineStr">
        <is>
          <t>Puntuación sobre la calidad de las políticas</t>
        </is>
      </c>
      <c r="AC84" s="3" t="inlineStr">
        <is>
          <t>கொள்கை தர மதிப்பெண்</t>
        </is>
      </c>
      <c r="AD84" s="3" t="inlineStr">
        <is>
          <t>คะแนน​ที่​แสดง​คุณภาพ​ของ​นโยบาย</t>
        </is>
      </c>
      <c r="AE84" s="3" t="inlineStr">
        <is>
          <t>Politika kalite skoru</t>
        </is>
      </c>
      <c r="AF84" s="3" t="inlineStr">
        <is>
          <t>Оцінка якості політики</t>
        </is>
      </c>
      <c r="AG84" s="3" t="inlineStr">
        <is>
          <t>Điểm số cho chất lượng chính sách</t>
        </is>
      </c>
    </row>
    <row r="85" ht="60" customHeight="1">
      <c r="A85" s="15" t="inlineStr">
        <is>
          <t>template</t>
        </is>
      </c>
      <c r="B85" s="15" t="inlineStr">
        <is>
          <t>quality_description</t>
        </is>
      </c>
      <c r="C85" s="9" t="inlineStr">
        <is>
          <t>Policy quality score for measurable policies aligned with evidence on healthy cities</t>
        </is>
      </c>
      <c r="D85" s="8" t="inlineStr">
        <is>
          <t>تصنيف جودة السياسات للسياسات القابلة للقياس المتوافقة مع الأدلة المتعلقة بالمدن الصحية</t>
        </is>
      </c>
      <c r="E85" s="8" t="inlineStr">
        <is>
          <t>Valoració de la qualitat de les polítiques per a polítiques mesurables alineades amb l'evidència sobre ciutats saludables</t>
        </is>
      </c>
      <c r="F85" s="9" t="inlineStr">
        <is>
          <t>对可衡量政策的政策质量评级与健康城市的证据相一致</t>
        </is>
      </c>
      <c r="G85" s="8" t="inlineStr">
        <is>
          <t>對可衡量政策的政策質量評級與健康城市的證據一致</t>
        </is>
      </c>
      <c r="H85" s="16" t="inlineStr">
        <is>
          <t>Ocjena kvalitete politika za mjerljive politike usklađene s dokazima o zdravim gradovima</t>
        </is>
      </c>
      <c r="I85" s="8" t="inlineStr">
        <is>
          <t>Hodnocení kvality politiky pro měřitelné politiky v souladu s důkazy o zdravých městech</t>
        </is>
      </c>
      <c r="J85" s="16" t="inlineStr">
        <is>
          <t>Politikkvalitetsvurdering for målbare politikker i overensstemmelse med evidens om sunde byer</t>
        </is>
      </c>
      <c r="K85" s="16" t="inlineStr">
        <is>
          <t>Beleidskwaliteitsbeoordeling voor meetbaar beleid afgestemd op bewijsmateriaal over gezonde steden</t>
        </is>
      </c>
      <c r="L85" s="8" t="inlineStr">
        <is>
          <t>Poliittisten ohjauskeinojen laatuluokitus politiikkadokumenteille tai muille yksittäisille poliittisille ohjauskeinoille, jotka edistävät terveellisiä kaupunkeja olemassaolevaa tieteellistä näyttöä myötäillen</t>
        </is>
      </c>
      <c r="M85" s="8" t="inlineStr">
        <is>
          <t>Évaluation de la qualité des politiques mesurables et alignées sur les données probantes sur les villes-santé</t>
        </is>
      </c>
      <c r="N85" s="8" t="inlineStr">
        <is>
          <t>Bewertung der Qualität von messbaren Richtlinien im Einklang mit Erkenntnissen zu gesunden Städten</t>
        </is>
      </c>
      <c r="O85" s="8" t="inlineStr">
        <is>
          <t>Αξιολόγηση ποιότητας πολιτικής για μετρήσιμες πολιτικές ευθυγραμμισμένες με στοιχεία για υγιείς πόλεις</t>
        </is>
      </c>
      <c r="P85" s="8" t="inlineStr">
        <is>
          <t>Ƙimar ingancin manufofin don manufofin ma'auni masu dacewa da shaida akan birane masu lafiya</t>
        </is>
      </c>
      <c r="Q85" s="8" t="inlineStr">
        <is>
          <t>स्वस्थ शहरों पर साक्ष्य के साथ संरेखित मापने योग्य नीतियों के लिए नीति गुणवत्ता रेटिंग</t>
        </is>
      </c>
      <c r="R85" s="8" t="inlineStr">
        <is>
          <t>Penilaian kualitas kebijakan untuk kebijakan yang terukur dan selaras dengan bukti mengenai kota yang sehat</t>
        </is>
      </c>
      <c r="S85" s="8" t="inlineStr">
        <is>
          <t>Valutazione della qualità di un provvedimento a supporto di politiche misurabili basate su evidenze osservate in città sane</t>
        </is>
      </c>
      <c r="T85" s="3" t="inlineStr">
        <is>
          <t>健康な都市に関するエビデンスに沿った測定可能な政策の品質評価</t>
        </is>
      </c>
      <c r="U85" s="3" t="inlineStr">
        <is>
          <t>건강한 도시에 대한 근거에 맞춰 측정 가능한 정책에 대한 정책 수준 점수</t>
        </is>
      </c>
      <c r="V85" s="3" t="inlineStr">
        <is>
          <t>Ko te whakatauranga o te kounga kaupapa here mo nga kaupapa here ine e hono ana ki nga taunakitanga mo nga taone hauora</t>
        </is>
      </c>
      <c r="W85" s="3" t="inlineStr">
        <is>
          <t>मापनयोग्य नीतिहरूको लागि नीति गुणस्तर मूल्याङ्कन स्वस्थ सहरहरूमा प्रमाणसँग पङ्क्तिबद्ध</t>
        </is>
      </c>
      <c r="X85" s="44" t="inlineStr">
        <is>
          <t>رتبه‌بندی کیفیت خط‌مشی برای سیاست‌های قابل اندازه‌گیری همسو با شواهدی در مورد شهرهای سالم</t>
        </is>
      </c>
      <c r="Y85" s="3" t="inlineStr">
        <is>
          <t>Classificação da qualidade das políticas mensuráveis alinhadas com evidências sobre cidades saudáveis</t>
        </is>
      </c>
      <c r="Z85" s="3" t="inlineStr">
        <is>
          <t>Classificação da qualidade das políticas para políticas mensuráveis alinhadas com evidências sobre cidades saudáveis</t>
        </is>
      </c>
      <c r="AA85" s="3" t="inlineStr">
        <is>
          <t>Puntuación de la calidad de las políticas medibles alineadas con la evidencia sobre ciudades saludables</t>
        </is>
      </c>
      <c r="AB85" s="3" t="inlineStr">
        <is>
          <t>Calificación de la calidad de las políticas cuantificables alineadas con la evidencia sobre ciudades saludables</t>
        </is>
      </c>
      <c r="AC85" s="3" t="inlineStr">
        <is>
          <t>ஆரோக்கியமான நகரங்களின் ஆதாரங்களுடன் சீரமைக்கப்பட்ட அளவிடக்கூடிய கொள்கைகளுக்கான கொள்கை தர மதிப்பீடு</t>
        </is>
      </c>
      <c r="AD85" s="3" t="inlineStr">
        <is>
          <t>การ​จัด​อันดับ​คุณภาพ​ของ​นโยบาย​สำหรับ​นโยบาย​ที่​วัด​ผล​ได้​ซึ่ง​มี​ความ​สอด​คล้อง​กับ​หลัก​ฐาน​ว่าด้วย​เมือง​ที่​มี​สุขภาพ​ดี</t>
        </is>
      </c>
      <c r="AE85" s="3" t="inlineStr">
        <is>
          <t>Politikaların sağlıklı şehirlere ilişkin bilimsel kanıtlarla uygunluğu ve ölçülebilirliği</t>
        </is>
      </c>
      <c r="AF85" s="3" t="inlineStr">
        <is>
          <t>Рейтинг якості політики для вимірюваної політики, узгодженої з доказами здорових міст</t>
        </is>
      </c>
      <c r="AG85" s="3" t="inlineStr">
        <is>
          <t>Xếp hạng chất lượng chính sách cho các chính sách có thể đo lường được  phù hợp với bằng chứng về các thành phố lành mạnh</t>
        </is>
      </c>
    </row>
    <row r="86" ht="30" customHeight="1">
      <c r="A86" s="15" t="inlineStr">
        <is>
          <t>template</t>
        </is>
      </c>
      <c r="B86" s="15" t="inlineStr">
        <is>
          <t>policy_urban_checklist</t>
        </is>
      </c>
      <c r="C86" s="9" t="inlineStr">
        <is>
          <t>City planning requirements</t>
        </is>
      </c>
      <c r="D86" s="8" t="inlineStr">
        <is>
          <t>متطلبات تخطيط المدينة</t>
        </is>
      </c>
      <c r="E86" s="8" t="inlineStr">
        <is>
          <t>Requisits per a la planificació urbana</t>
        </is>
      </c>
      <c r="F86" s="9" t="inlineStr">
        <is>
          <t>城市规划指标</t>
        </is>
      </c>
      <c r="G86" s="8" t="inlineStr">
        <is>
          <t>城市規劃指標</t>
        </is>
      </c>
      <c r="H86" s="16" t="inlineStr">
        <is>
          <t>Urbanistički zahtjevi</t>
        </is>
      </c>
      <c r="I86" s="8" t="inlineStr">
        <is>
          <t>Požadavky územního plánování</t>
        </is>
      </c>
      <c r="J86" s="16" t="inlineStr">
        <is>
          <t>Betingelser for sund, bæredygtig byplanlægning</t>
        </is>
      </c>
      <c r="K86" s="16" t="inlineStr">
        <is>
          <t>Stedenbouwkundige vereisten</t>
        </is>
      </c>
      <c r="L86" s="8" t="inlineStr">
        <is>
          <t>Kaupunkisuunnittelun vaatimukset</t>
        </is>
      </c>
      <c r="M86" s="8" t="inlineStr">
        <is>
          <t>Exigences en matière d'urbanisme</t>
        </is>
      </c>
      <c r="N86" s="8" t="inlineStr">
        <is>
          <t>Stadtplanerische Anforderungen</t>
        </is>
      </c>
      <c r="O86" s="8" t="inlineStr">
        <is>
          <t>Απαιτήσεις πολεοδομικού σχεδιασμού</t>
        </is>
      </c>
      <c r="P86" s="8" t="inlineStr">
        <is>
          <t>Bukatun tsara birni</t>
        </is>
      </c>
      <c r="Q86" s="8" t="inlineStr">
        <is>
          <t>नगर नियोजन आवश्यकताएँ</t>
        </is>
      </c>
      <c r="R86" s="8" t="inlineStr">
        <is>
          <t>Persyaratan perencanaan kota</t>
        </is>
      </c>
      <c r="S86" s="8" t="inlineStr">
        <is>
          <t>Requisiti della pianificazione urbana</t>
        </is>
      </c>
      <c r="T86" s="3" t="inlineStr">
        <is>
          <t>都市計画上の要件</t>
        </is>
      </c>
      <c r="U86" s="3" t="inlineStr">
        <is>
          <t>도시 계획 요구사항</t>
        </is>
      </c>
      <c r="V86" s="3" t="inlineStr">
        <is>
          <t>Ngā tikanga whakarite tāone</t>
        </is>
      </c>
      <c r="W86" s="3" t="inlineStr">
        <is>
          <t>शहर योजना आवश्यकताहरू</t>
        </is>
      </c>
      <c r="X86" s="44" t="inlineStr">
        <is>
          <t>الزامات برنامه ریزی شهری</t>
        </is>
      </c>
      <c r="Y86" s="3" t="inlineStr">
        <is>
          <t>Requisitos de planejamento da cidade</t>
        </is>
      </c>
      <c r="Z86" s="3" t="inlineStr">
        <is>
          <t>Requisitos de planeamento da cidade</t>
        </is>
      </c>
      <c r="AA86" s="3" t="inlineStr">
        <is>
          <t>Requisitos para la planeación urbana</t>
        </is>
      </c>
      <c r="AB86" s="3" t="inlineStr">
        <is>
          <t>Requisitos para la planificación urbana</t>
        </is>
      </c>
      <c r="AC86" s="3" t="inlineStr">
        <is>
          <t>நகர திட்டமிடல் தேவைகள்</t>
        </is>
      </c>
      <c r="AD86" s="3" t="inlineStr">
        <is>
          <t>ข้อ​กำหนด​ใน​การ​วาง​ผัง​เมือง</t>
        </is>
      </c>
      <c r="AE86" s="3" t="inlineStr">
        <is>
          <t>Şehir planlama ihtiyaçları</t>
        </is>
      </c>
      <c r="AF86" s="3" t="inlineStr">
        <is>
          <t>Містобудівні вимоги</t>
        </is>
      </c>
      <c r="AG86" s="3" t="inlineStr">
        <is>
          <t xml:space="preserve">Các yêu cầu quy hoạch đô thị </t>
        </is>
      </c>
    </row>
    <row r="87" ht="75" customHeight="1">
      <c r="A87" s="15" t="inlineStr">
        <is>
          <t>template</t>
        </is>
      </c>
      <c r="B87" s="15" t="inlineStr">
        <is>
          <t>walkability_description</t>
        </is>
      </c>
      <c r="C87" s="10" t="inlineStr">
        <is>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is>
      </c>
      <c r="D87" s="8" t="inlineStr">
        <is>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is>
      </c>
      <c r="E87" s="8" t="inlineStr">
        <is>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is>
      </c>
      <c r="F87" s="10" t="inlineStr">
        <is>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is>
      </c>
      <c r="G87" s="11" t="inlineStr">
        <is>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is>
      </c>
      <c r="H87" s="16" t="inlineStr">
        <is>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is>
      </c>
      <c r="I87" s="11" t="inlineStr">
        <is>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is>
      </c>
      <c r="J87" s="16" t="inlineStr">
        <is>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is>
      </c>
      <c r="K87" s="16" t="inlineStr">
        <is>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is>
      </c>
      <c r="L87" s="8" t="inlineStr">
        <is>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is>
      </c>
      <c r="M87" s="8" t="inlineStr">
        <is>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is>
      </c>
      <c r="N87" s="11" t="inlineStr">
        <is>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is>
      </c>
      <c r="O87" s="8" t="inlineStr">
        <is>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is>
      </c>
      <c r="P87" s="8" t="inlineStr">
        <is>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is>
      </c>
      <c r="Q87" s="8" t="inlineStr">
        <is>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is>
      </c>
      <c r="R87" s="8" t="inlineStr">
        <is>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is>
      </c>
      <c r="S87" s="8" t="inlineStr">
        <is>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is>
      </c>
      <c r="T87" s="3" t="inlineStr">
        <is>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is>
      </c>
      <c r="U87" s="3" t="inlineStr">
        <is>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is>
      </c>
      <c r="V87" s="3" t="inlineStr">
        <is>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is>
      </c>
      <c r="W87" s="3" t="inlineStr">
        <is>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is>
      </c>
      <c r="X87" s="44" t="inlineStr">
        <is>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is>
      </c>
      <c r="Y87" s="3" t="inlineStr">
        <is>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is>
      </c>
      <c r="Z87" s="3" t="inlineStr">
        <is>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is>
      </c>
      <c r="AA87" s="3" t="inlineStr">
        <is>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is>
      </c>
      <c r="AB87" s="3" t="inlineStr">
        <is>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is>
      </c>
      <c r="AC87" s="3" t="inlineStr">
        <is>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is>
      </c>
      <c r="AD87" s="3" t="inlineStr">
        <is>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is>
      </c>
      <c r="AE87" s="3" t="inlineStr">
        <is>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is>
      </c>
      <c r="AF87" s="3" t="inlineStr">
        <is>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is>
      </c>
      <c r="AG87" s="3" t="inlineStr">
        <is>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is>
      </c>
    </row>
    <row r="88">
      <c r="A88" s="15" t="inlineStr">
        <is>
          <t>template</t>
        </is>
      </c>
      <c r="B88" s="15" t="inlineStr">
        <is>
          <t>relative neighbourhood walkability</t>
        </is>
      </c>
      <c r="C88" s="10" t="inlineStr">
        <is>
          <t>Walkability inequities</t>
        </is>
      </c>
      <c r="D88" s="8" t="inlineStr">
        <is>
          <t>عدم المساواة في القدرة على المشي</t>
        </is>
      </c>
      <c r="E88" s="8" t="inlineStr">
        <is>
          <t>Desigualtats de caminabilitat</t>
        </is>
      </c>
      <c r="F88" s="10" t="inlineStr">
        <is>
          <t>步行适宜性不平等</t>
        </is>
      </c>
      <c r="G88" s="11" t="inlineStr">
        <is>
          <t>步行適宜性不平等</t>
        </is>
      </c>
      <c r="H88" s="16" t="inlineStr">
        <is>
          <t>Nejednakosti u prohodnosti</t>
        </is>
      </c>
      <c r="I88" s="11" t="inlineStr">
        <is>
          <t>Nesrovnalosti v pochůznosti</t>
        </is>
      </c>
      <c r="J88" s="16" t="inlineStr">
        <is>
          <t>Uligheder i gangbarhed</t>
        </is>
      </c>
      <c r="K88" s="16" t="inlineStr">
        <is>
          <t>Ongelijkheid op het gebied van beloopbaarheid</t>
        </is>
      </c>
      <c r="L88" s="8" t="inlineStr">
        <is>
          <t>Käveltävyyden epätasa-arvoisuus</t>
        </is>
      </c>
      <c r="M88" s="8" t="inlineStr">
        <is>
          <t>Inégalités en matière de potentiel piétonnier</t>
        </is>
      </c>
      <c r="N88" s="11" t="inlineStr">
        <is>
          <t>Ungleichheiten bei der Begehbarkeit</t>
        </is>
      </c>
      <c r="O88" s="8" t="inlineStr">
        <is>
          <t>Ανισότητες βατότητας</t>
        </is>
      </c>
      <c r="P88" s="8" t="inlineStr">
        <is>
          <t>Rashin daidaiton tafiya</t>
        </is>
      </c>
      <c r="Q88" s="8" t="inlineStr">
        <is>
          <t>चलने योग्यता असमानताएँ</t>
        </is>
      </c>
      <c r="R88" s="8" t="inlineStr">
        <is>
          <t>Ketimpangan walkability</t>
        </is>
      </c>
      <c r="S88" s="8" t="inlineStr">
        <is>
          <t>Disuguaglianze nel grado di camminabilità</t>
        </is>
      </c>
      <c r="T88" s="3" t="inlineStr">
        <is>
          <t>ウォーカビリティの不平等</t>
        </is>
      </c>
      <c r="U88" s="3" t="inlineStr">
        <is>
          <t>보행친화성 불평등</t>
        </is>
      </c>
      <c r="V88" s="3" t="inlineStr">
        <is>
          <t>Te kore tika o te haere</t>
        </is>
      </c>
      <c r="W88" s="3" t="inlineStr">
        <is>
          <t>हिड्ने असमानता</t>
        </is>
      </c>
      <c r="X88" s="44" t="inlineStr">
        <is>
          <t>نابرابری‌ در پیاده‌پذیری</t>
        </is>
      </c>
      <c r="Y88" s="3" t="inlineStr">
        <is>
          <t>Desigualdades de caminhabilidade</t>
        </is>
      </c>
      <c r="Z88" s="3" t="inlineStr">
        <is>
          <t>Desigualdades de caminhabilidade</t>
        </is>
      </c>
      <c r="AA88" s="3" t="inlineStr">
        <is>
          <t>Inequidades en la caminabilidad</t>
        </is>
      </c>
      <c r="AB88" s="3" t="inlineStr">
        <is>
          <t>Desigualdades en la caminabilidad</t>
        </is>
      </c>
      <c r="AC88" s="3" t="inlineStr">
        <is>
          <t>நடக்கக்கூடிய ஏற்றத்தாழ்வுகள்</t>
        </is>
      </c>
      <c r="AD88" s="3" t="inlineStr">
        <is>
          <t>ความ​ไม่​เท่าเทียมกัน​ของ​ความ​สามารถ​ใน​การ​เดิน</t>
        </is>
      </c>
      <c r="AE88" s="3" t="inlineStr">
        <is>
          <t>Yürünebilirlik eşitsizlikleri</t>
        </is>
      </c>
      <c r="AF88" s="3" t="inlineStr">
        <is>
          <t>Нерівності в прохідності</t>
        </is>
      </c>
      <c r="AG88" s="3" t="inlineStr">
        <is>
          <t>Bất bình đẳng về khả năng đi bộ</t>
        </is>
      </c>
    </row>
    <row r="89" ht="315" customHeight="1">
      <c r="A89" s="15" t="inlineStr">
        <is>
          <t>template</t>
        </is>
      </c>
      <c r="B89" s="15" t="inlineStr">
        <is>
          <t>25 city study header</t>
        </is>
      </c>
      <c r="C89" s="10" t="inlineStr">
        <is>
          <t>Box 1: The Lancet Global Health Series study of 25 cities internationally</t>
        </is>
      </c>
      <c r="D89" s="8" t="inlineStr">
        <is>
          <t>الإطار 1: دراسة سلسلة لانسيت للصحة العالمية التي شملت 25 مدينة على المستوى الدولي</t>
        </is>
      </c>
      <c r="E89" s="8" t="inlineStr">
        <is>
          <t>Quadre 1: L'estudi Lancet Global Health Series de 25 ciutats a nivell internacional</t>
        </is>
      </c>
      <c r="F89" s="10" t="inlineStr">
        <is>
          <t>框 1：《柳叶刀》全球健康系列对国际 25 个城市的研究</t>
        </is>
      </c>
      <c r="G89" s="11" t="inlineStr">
        <is>
          <t>框 1：《刺胳針》全球健康系列對國際 25 個城市的研究</t>
        </is>
      </c>
      <c r="H89" s="16" t="inlineStr">
        <is>
          <t>Okvir 1: Studija Lancetove globalne zdravstvene serije o 25 međunarodnih gradova</t>
        </is>
      </c>
      <c r="I89" s="11" t="inlineStr">
        <is>
          <t>Rámeček 1: Studie Lancet Global Health Series 25 měst po celém světě</t>
        </is>
      </c>
      <c r="J89" s="16" t="inlineStr">
        <is>
          <t>Boks 1: Lancet Global Health Series-undersøgelsen af 25 byer internationalt</t>
        </is>
      </c>
      <c r="K89" s="16" t="inlineStr">
        <is>
          <t>Box 1: De Lancet Global Health Series-studie van 25 internationale steden</t>
        </is>
      </c>
      <c r="L89" s="8" t="inlineStr">
        <is>
          <t>Laatikko 1: The Lancet -tiedejulkaisun Global Health -sarjan tutkimus 25:sta kaupungista kansainvälisesti</t>
        </is>
      </c>
      <c r="M89" s="8" t="inlineStr">
        <is>
          <t>Encadré 1 : Étude du Lancet Global Health Series portant sur 25 villes à l’échelle internationale</t>
        </is>
      </c>
      <c r="N89" s="11" t="inlineStr">
        <is>
          <t>Kasten 1: Die Lancet Global Health Series-Studie mit 25 Städten weltweit</t>
        </is>
      </c>
      <c r="O89" s="8" t="inlineStr">
        <is>
          <t>Πλαίσιο 1: Η μελέτη Lancet Global Health Series σε 25 πόλεις διεθνώς</t>
        </is>
      </c>
      <c r="P89" s="8" t="inlineStr">
        <is>
          <t>Akwati 1: Nazarin Lancet Global Health Series na birane 25 na duniya</t>
        </is>
      </c>
      <c r="Q89" s="8" t="inlineStr">
        <is>
          <t>बॉक्स 1: लैंसेट ग्लोबल हेल्थ सीरीज़ द्वारा अंतरराष्ट्रीय स्तर पर 25 शहरों का अध्ययन</t>
        </is>
      </c>
      <c r="R89" s="8" t="inlineStr">
        <is>
          <t>Kotak 1: Studi Lancet Global Health Series terhadap 25 kota secara internasional</t>
        </is>
      </c>
      <c r="S89" s="8" t="inlineStr">
        <is>
          <t>Riquadro 1: Studio del Lancet Global Health Series condotto su 25 città su scala internazionale</t>
        </is>
      </c>
      <c r="T89" s="3" t="inlineStr">
        <is>
          <t>ボックス 1: 世界25都市を対象としたLancet Global Health Seriesの研究</t>
        </is>
      </c>
      <c r="U89" s="3" t="inlineStr">
        <is>
          <t>박스 1: 전 세계 25개 도시에 대한 Lancet Global Health Series 연구</t>
        </is>
      </c>
      <c r="V89" s="3" t="inlineStr">
        <is>
          <t>Pouaka 1: Te Rangataka Hauora a Lancet Global Health Series mo nga taone 25 o te ao</t>
        </is>
      </c>
      <c r="W89" s="3" t="inlineStr">
        <is>
          <t>बक्स 1: अन्तर्राष्ट्रिय रूपमा 25 शहरहरूको ल्यान्सेट ग्लोबल हेल्थ सीरीज अध्ययन</t>
        </is>
      </c>
      <c r="X89" s="44" t="inlineStr">
        <is>
          <t>کادر ۱:مجموعه مطالعات The Lancet Global Health  ۲۵ شهر در سطح بین‌المللی</t>
        </is>
      </c>
      <c r="Y89" s="3" t="inlineStr">
        <is>
          <t>Caixa 1: Estudo “The Lancet Global Health Series” de 25 cidades internacionalmente</t>
        </is>
      </c>
      <c r="Z89" s="3" t="inlineStr">
        <is>
          <t>Caixa 1: Estudo The Lancet Global Health Series de 25 cidades internacionalmente</t>
        </is>
      </c>
      <c r="AA89" s="3" t="inlineStr">
        <is>
          <t>Cuadro 1: Estudio en The Lancet Global Health de 25 ciudades a nivel internacional</t>
        </is>
      </c>
      <c r="AB89" s="3" t="inlineStr">
        <is>
          <t>Cuadro 1: Estudio de The Lancet Global Health Series de 25 ciudades a nivel internacional</t>
        </is>
      </c>
      <c r="AC89" s="3" t="inlineStr">
        <is>
          <t>பெட்டி 1: சர்வதேச அளவில் 25 நகரங்களின் லான்செட் குளோபல் ஹெல்த் சீரிஸ் ஆய்வு</t>
        </is>
      </c>
      <c r="AD89" s="3" t="inlineStr">
        <is>
          <t>กล่อง​ที่ 1: การ​ศึกษา​เกี่ยวกับ​เรื่อง​สุขภาพ​ใน​ระดับ​โลก​ของ Lancet ใน 25 เมือง​ทั่ว​โลก</t>
        </is>
      </c>
      <c r="AE89" s="3" t="inlineStr">
        <is>
          <t>Kutu 1: Uluslararası 25 şehri kapsayan Lancet Küresel Sağlık Serisi araştırması</t>
        </is>
      </c>
      <c r="AF89" s="3" t="inlineStr">
        <is>
          <t>Вставка 1: дослідження Lancet Global Health Series у 25 містах світу</t>
        </is>
      </c>
      <c r="AG89" s="3" t="inlineStr">
        <is>
          <t>Hộp 1:  Xê ri Sức khỏe Toàn cầu của The Lancet: nghiên cứu về 25 thành phố trên thế giới</t>
        </is>
      </c>
    </row>
    <row r="90">
      <c r="A90" s="15" t="inlineStr">
        <is>
          <t>template</t>
        </is>
      </c>
      <c r="B90" s="15" t="inlineStr">
        <is>
          <t>25 city study</t>
        </is>
      </c>
      <c r="C90" s="10" t="inlineStr">
        <is>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is>
      </c>
      <c r="D90" s="8" t="inlineStr">
        <is>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is>
      </c>
      <c r="E90" s="8" t="inlineStr">
        <is>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is>
      </c>
      <c r="F90" s="10" t="inlineStr">
        <is>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is>
      </c>
      <c r="G90" s="11" t="inlineStr">
        <is>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is>
      </c>
      <c r="H90" s="16" t="inlineStr">
        <is>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is>
      </c>
      <c r="I90" s="11" t="inlineStr">
        <is>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is>
      </c>
      <c r="J90" s="16" t="inlineStr">
        <is>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is>
      </c>
      <c r="K90" s="16" t="inlineStr">
        <is>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is>
      </c>
      <c r="L90" s="8" t="inlineStr">
        <is>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is>
      </c>
      <c r="M90" s="8" t="inlineStr">
        <is>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is>
      </c>
      <c r="N90" s="11" t="inlineStr">
        <is>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is>
      </c>
      <c r="O90" s="8" t="inlineStr">
        <is>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is>
      </c>
      <c r="P90" s="8" t="inlineStr">
        <is>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is>
      </c>
      <c r="Q90" s="8" t="inlineStr">
        <is>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is>
      </c>
      <c r="R90" s="8" t="inlineStr">
        <is>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is>
      </c>
      <c r="S90" s="8" t="inlineStr">
        <is>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is>
      </c>
      <c r="T90" s="3" t="inlineStr">
        <is>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is>
      </c>
      <c r="U90" s="3" t="inlineStr">
        <is>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is>
      </c>
      <c r="V90" s="3" t="inlineStr">
        <is>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is>
      </c>
      <c r="W90" s="3" t="inlineStr">
        <is>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is>
      </c>
      <c r="X90" s="44" t="inlineStr">
        <is>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is>
      </c>
      <c r="Y90" s="3" t="inlineStr">
        <is>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Z90" s="3" t="inlineStr">
        <is>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AA90" s="3" t="inlineStr">
        <is>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is>
      </c>
      <c r="AB90" s="3" t="inlineStr">
        <is>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is>
      </c>
      <c r="AC90" s="3" t="inlineStr">
        <is>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is>
      </c>
      <c r="AD90" s="3" t="inlineStr">
        <is>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is>
      </c>
      <c r="AE90" s="3" t="inlineStr">
        <is>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is>
      </c>
      <c r="AF90" s="3" t="inlineStr">
        <is>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is>
      </c>
      <c r="AG90" s="3" t="inlineStr">
        <is>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is>
      </c>
    </row>
    <row r="91" ht="45" customHeight="1">
      <c r="A91" s="15" t="inlineStr">
        <is>
          <t>template</t>
        </is>
      </c>
      <c r="B91" s="15" t="inlineStr">
        <is>
          <t>thresholds header</t>
        </is>
      </c>
      <c r="C91" s="10" t="inlineStr">
        <is>
          <t>Urban design thresholds to promote walking</t>
        </is>
      </c>
      <c r="D91" s="8" t="inlineStr">
        <is>
          <t>عتبات التصميم الحضري لتشجيع المشي</t>
        </is>
      </c>
      <c r="E91" s="8" t="inlineStr">
        <is>
          <t>Llindars de disseny urbà per promoure el caminar com a mitjà de transport</t>
        </is>
      </c>
      <c r="F91" s="10" t="inlineStr">
        <is>
          <t>促进步行的城市设计阈值</t>
        </is>
      </c>
      <c r="G91" s="11" t="inlineStr">
        <is>
          <t>促進步行的城市設計閾值</t>
        </is>
      </c>
      <c r="H91" s="16" t="inlineStr">
        <is>
          <t>Urbanistički dizajn pragova za promicanje hodanja</t>
        </is>
      </c>
      <c r="I91" s="11" t="inlineStr">
        <is>
          <t>Městské prahy pro podporu chůze</t>
        </is>
      </c>
      <c r="J91" s="16" t="inlineStr">
        <is>
          <t>Bydesigntærskler for at fremme gang</t>
        </is>
      </c>
      <c r="K91" s="16" t="inlineStr">
        <is>
          <t>Stedenbouwkundige drempels om lopen te bevorderen</t>
        </is>
      </c>
      <c r="L91" s="8" t="inlineStr">
        <is>
          <t>Kynnysarvot kävelyn edistämiseksi kaupunkisuunnittelussa</t>
        </is>
      </c>
      <c r="M91" s="8" t="inlineStr">
        <is>
          <t>Des seuils d’aménagement urbain pour favoriser la marche</t>
        </is>
      </c>
      <c r="N91" s="11" t="inlineStr">
        <is>
          <t>Städtebauliche Schwellen zur Förderung des Gehens</t>
        </is>
      </c>
      <c r="O91" s="8" t="inlineStr">
        <is>
          <t>Κατώφλια αστικής σχεδίασης για την προώθηση του περπατήματος</t>
        </is>
      </c>
      <c r="P91" s="8" t="inlineStr">
        <is>
          <t>Ƙofar ƙirar birni don haɓaka tafiya</t>
        </is>
      </c>
      <c r="Q91" s="8" t="inlineStr">
        <is>
          <t>पैदल चलने को बढ़ावा देने के लिए शहरी डिज़ाइन की सीमाएं</t>
        </is>
      </c>
      <c r="R91" s="8" t="inlineStr">
        <is>
          <t>Ambang batas desain perkotaan untuk mendorong berjalan kaki</t>
        </is>
      </c>
      <c r="S91" s="8" t="inlineStr">
        <is>
          <t>Soglie di progettazione urbanistica per favorire gli spostamenti a piedi</t>
        </is>
      </c>
      <c r="T91" s="3" t="inlineStr">
        <is>
          <t>歩行を促進する都市デザインのしきい値</t>
        </is>
      </c>
      <c r="U91" s="3" t="inlineStr">
        <is>
          <t>보행친화적 도시설계 기준</t>
        </is>
      </c>
      <c r="V91" s="3" t="inlineStr">
        <is>
          <t>Nga paepae hoahoa taone hei whakatairanga i te hikoi</t>
        </is>
      </c>
      <c r="W91" s="3" t="inlineStr">
        <is>
          <t>हिड्ने प्रवर्द्धन गर्न शहरी डिजाइन थ्रेसहोल्डहरू</t>
        </is>
      </c>
      <c r="X91" s="44" t="inlineStr">
        <is>
          <t>آستانه‌های طراحی شهری برای ترویج پیاده‌روی</t>
        </is>
      </c>
      <c r="Y91" s="3" t="inlineStr">
        <is>
          <t>Limiares de desenho urbano para promover caminhadas</t>
        </is>
      </c>
      <c r="Z91" s="3" t="inlineStr">
        <is>
          <t>Limiares de desenho urbano para promover caminhadas</t>
        </is>
      </c>
      <c r="AA91" s="3" t="inlineStr">
        <is>
          <t>Umbrales de diseño urbano para fomentar los desplazamientos a pie</t>
        </is>
      </c>
      <c r="AB91" s="3" t="inlineStr">
        <is>
          <t>Umbrales de diseño urbano para promover los desplazamientos a pie.</t>
        </is>
      </c>
      <c r="AC91" s="3" t="inlineStr">
        <is>
          <t>நடைப்பயிற்சியை ஊக்குவிக்க நகர்ப்புற வடிவமைப்பு வரம்புகள்</t>
        </is>
      </c>
      <c r="AD91" s="3" t="inlineStr">
        <is>
          <t>เกณฑ์​การ​ออก​แบบ​ชุมชน​เมือง​เพื่อ​ส่ง​เสริม​การ​เดิน</t>
        </is>
      </c>
      <c r="AE91" s="3" t="inlineStr">
        <is>
          <t>Yürümeyi teşvik eden kentsel tasarım eşikleri</t>
        </is>
      </c>
      <c r="AF91" s="3" t="inlineStr">
        <is>
          <t>Пороги міського дизайну для сприяння ходьбі</t>
        </is>
      </c>
      <c r="AG91" s="3" t="inlineStr">
        <is>
          <t>Ngưỡng thiết kế đô thị để thúc đẩy việc đi bộ</t>
        </is>
      </c>
    </row>
    <row r="92" ht="390" customHeight="1">
      <c r="A92" s="15" t="inlineStr">
        <is>
          <t>template</t>
        </is>
      </c>
      <c r="B92" s="15" t="inlineStr">
        <is>
          <t>thresholds text</t>
        </is>
      </c>
      <c r="C92" s="10" t="inlineStr">
        <is>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is>
      </c>
      <c r="D92" s="8" t="inlineStr">
        <is>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is>
      </c>
      <c r="E92" s="8" t="inlineStr">
        <is>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is>
      </c>
      <c r="F92" s="10" t="inlineStr">
        <is>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is>
      </c>
      <c r="G92" s="11" t="inlineStr">
        <is>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is>
      </c>
      <c r="H92" s="16" t="inlineStr">
        <is>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is>
      </c>
      <c r="I92" s="11" t="inlineStr">
        <is>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is>
      </c>
      <c r="J92" s="16" t="inlineStr">
        <is>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is>
      </c>
      <c r="K92" s="16" t="inlineStr">
        <is>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is>
      </c>
      <c r="L92" s="8" t="inlineStr">
        <is>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is>
      </c>
      <c r="M92" s="8" t="inlineStr">
        <is>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is>
      </c>
      <c r="N92" s="11" t="inlineStr">
        <is>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is>
      </c>
      <c r="O92" s="8" t="inlineStr">
        <is>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is>
      </c>
      <c r="P92" s="8" t="inlineStr">
        <is>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is>
      </c>
      <c r="Q92" s="8" t="inlineStr">
        <is>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is>
      </c>
      <c r="R92" s="8" t="inlineStr">
        <is>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is>
      </c>
      <c r="S92" s="8" t="inlineStr">
        <is>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is>
      </c>
      <c r="T92" s="3" t="inlineStr">
        <is>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is>
      </c>
      <c r="U92" s="3" t="inlineStr">
        <is>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is>
      </c>
      <c r="V92" s="3" t="inlineStr">
        <is>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is>
      </c>
      <c r="W92" s="3" t="inlineStr">
        <is>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is>
      </c>
      <c r="X92" s="44" t="inlineStr">
        <is>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is>
      </c>
      <c r="Y92" s="3" t="inlineStr">
        <is>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is>
      </c>
      <c r="Z92" s="3" t="inlineStr">
        <is>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is>
      </c>
      <c r="AA92" s="3" t="inlineStr">
        <is>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is>
      </c>
      <c r="AB92" s="3" t="inlineStr">
        <is>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is>
      </c>
      <c r="AC92" s="3" t="inlineStr">
        <is>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is>
      </c>
      <c r="AD92" s="3" t="inlineStr">
        <is>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is>
      </c>
      <c r="AE92" s="3" t="inlineStr">
        <is>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is>
      </c>
      <c r="AF92" s="3" t="inlineStr">
        <is>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is>
      </c>
      <c r="AG92" s="3" t="inlineStr">
        <is>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is>
      </c>
    </row>
    <row r="93" ht="30" customHeight="1">
      <c r="A93" s="15" t="inlineStr">
        <is>
          <t>template</t>
        </is>
      </c>
      <c r="B93" s="15" t="inlineStr">
        <is>
          <t>threshold scale text</t>
        </is>
      </c>
      <c r="C93" s="10" t="inlineStr">
        <is>
          <t>Probability of engaging in any walking for transport</t>
        </is>
      </c>
      <c r="D93" s="8" t="inlineStr">
        <is>
          <t>احتمال الانخراط في المشي  لغرض التنقل</t>
        </is>
      </c>
      <c r="E93" s="8" t="inlineStr">
        <is>
          <t>Probabilitat de realitzar qualsevol caminada com a mitjà de transport</t>
        </is>
      </c>
      <c r="F93" s="10" t="inlineStr">
        <is>
          <t>进行步行交通的概率</t>
        </is>
      </c>
      <c r="G93" s="11" t="inlineStr">
        <is>
          <t>進行步行交通的機率</t>
        </is>
      </c>
      <c r="H93" s="16" t="inlineStr">
        <is>
          <t>Vjerojatnost upuštanja u bilo kakvo hodanje radi prijevoza</t>
        </is>
      </c>
      <c r="I93" s="11" t="inlineStr">
        <is>
          <t>Pravděpodobnost zapojení se do jakékoli chůze pro dopravu</t>
        </is>
      </c>
      <c r="J93" s="16" t="inlineStr">
        <is>
          <t>Sandsynlighed for at deltage i enhver gang til transport</t>
        </is>
      </c>
      <c r="K93" s="16" t="inlineStr">
        <is>
          <t>Waarschijnlijkheid dat u gaat wandelen voor transport</t>
        </is>
      </c>
      <c r="L93" s="8" t="inlineStr">
        <is>
          <t>Todennäköisyys liikkua kävellen</t>
        </is>
      </c>
      <c r="M93" s="8" t="inlineStr">
        <is>
          <t>Probabilité de marcher pour se déplacer</t>
        </is>
      </c>
      <c r="N93" s="11" t="inlineStr">
        <is>
          <t>Wahrscheinlichkeit, zu Fuß zu gehen, um von A nach B zu gelangen</t>
        </is>
      </c>
      <c r="O93" s="8" t="inlineStr">
        <is>
          <t>Πιθανότητα εμπλοκής σε οποιοδήποτε περπάτημα για μεταφορά</t>
        </is>
      </c>
      <c r="P93" s="8" t="inlineStr">
        <is>
          <t>Yiwuwar shiga kowane tafiya don sufuri</t>
        </is>
      </c>
      <c r="Q93" s="8" t="inlineStr">
        <is>
          <t>परिवहन के लिए किसी भी प्रकार की पैदल यात्रा में संलग्न होने की संभावना</t>
        </is>
      </c>
      <c r="R93" s="8" t="inlineStr">
        <is>
          <t>Kemungkinan melakukan perjalanan apa pun untuk transportasi</t>
        </is>
      </c>
      <c r="S93" s="8" t="inlineStr">
        <is>
          <t>Probabilità di intraprendere un qualche spostamento a piedi</t>
        </is>
      </c>
      <c r="T93" s="3" t="inlineStr">
        <is>
          <t>移動手段として歩行を選ぶ確率</t>
        </is>
      </c>
      <c r="U93" s="3" t="inlineStr">
        <is>
          <t>교통수단으로 보행 선택 가능성</t>
        </is>
      </c>
      <c r="V93" s="3" t="inlineStr">
        <is>
          <t>Te tūponotanga o te haere i roto i tetahi hīkoi mō te kawe</t>
        </is>
      </c>
      <c r="W93" s="3" t="inlineStr">
        <is>
          <t>यातायातको लागि कुनै पनि पैदल यात्रामा संलग्न हुने सम्भावना</t>
        </is>
      </c>
      <c r="X93" s="44" t="inlineStr">
        <is>
          <t>احتمال انجام هرگونه پیاده‌روی برای رفت‌و‌آمد</t>
        </is>
      </c>
      <c r="Y93" s="3" t="inlineStr">
        <is>
          <t>Probabilidade de praticar qualquer caminhada para transporte</t>
        </is>
      </c>
      <c r="Z93" s="3" t="inlineStr">
        <is>
          <t>Probabilidade de praticar qualquer caminhada para transporte</t>
        </is>
      </c>
      <c r="AA93" s="3" t="inlineStr">
        <is>
          <t>Probabilidad de realizar algún desplazamiento a pie por transporte</t>
        </is>
      </c>
      <c r="AB93" s="3" t="inlineStr">
        <is>
          <t>Probabilidad de realizar alguna caminata como medio de transporte</t>
        </is>
      </c>
      <c r="AC93" s="3" t="inlineStr">
        <is>
          <t>போக்குவரத்துக்காக எந்த நடைப்பயணத்திலும் ஈடுபடுவதற்கான நிகழ்தகவு</t>
        </is>
      </c>
      <c r="AD93" s="3" t="inlineStr">
        <is>
          <t>ความ​น่า​จะ​เป็น​ใน​การ​มี​ส่วน​ร่วม​ใน​การ​เดิน​เพื่อ​การ​สัญจร</t>
        </is>
      </c>
      <c r="AE93" s="3" t="inlineStr">
        <is>
          <t>Ulaşım amaçlı yürüme olasılığı</t>
        </is>
      </c>
      <c r="AF93" s="3" t="inlineStr">
        <is>
          <t>Ймовірність зайнятися будь-яким ходінням на транспорті</t>
        </is>
      </c>
      <c r="AG93" s="3" t="inlineStr">
        <is>
          <t>Xác suất tham gia vào bất kỳ hoạt động đi bộ nào với mục đích giao thông</t>
        </is>
      </c>
    </row>
    <row r="94" ht="285" customHeight="1">
      <c r="A94" s="15" t="inlineStr">
        <is>
          <t>template</t>
        </is>
      </c>
      <c r="B94" s="15" t="inlineStr">
        <is>
          <t>threshold population</t>
        </is>
      </c>
      <c r="C94" s="10" t="inlineStr">
        <is>
          <t>5,700 people per km²</t>
        </is>
      </c>
      <c r="D94" s="8" t="inlineStr">
        <is>
          <t>5700 شخص لكل كيلومتر مربع</t>
        </is>
      </c>
      <c r="E94" s="8" t="inlineStr">
        <is>
          <t>5.700 persones per km²</t>
        </is>
      </c>
      <c r="F94" s="10" t="inlineStr">
        <is>
          <t>每平方公里 5,700 人</t>
        </is>
      </c>
      <c r="G94" s="11" t="inlineStr">
        <is>
          <t>每平方公里 5,700 人</t>
        </is>
      </c>
      <c r="H94" s="16" t="inlineStr">
        <is>
          <t>5700 ljudi po km²</t>
        </is>
      </c>
      <c r="I94" s="11" t="inlineStr">
        <is>
          <t>5 700 lidí na km²</t>
        </is>
      </c>
      <c r="J94" s="16" t="inlineStr">
        <is>
          <t>5.700 mennesker pr. km²</t>
        </is>
      </c>
      <c r="K94" s="16" t="inlineStr">
        <is>
          <t>5.700 mensen per km²</t>
        </is>
      </c>
      <c r="L94" s="8" t="inlineStr">
        <is>
          <t>5 700 henkilöä/km²</t>
        </is>
      </c>
      <c r="M94" s="8" t="inlineStr">
        <is>
          <t>5 700 personnes par km²</t>
        </is>
      </c>
      <c r="N94" s="11" t="inlineStr">
        <is>
          <t>5.700 Menschen pro km²</t>
        </is>
      </c>
      <c r="O94" s="8" t="inlineStr">
        <is>
          <t>5.700 άτομα ανά km²</t>
        </is>
      </c>
      <c r="P94" s="8" t="inlineStr">
        <is>
          <t>5,700 mutane akowace km²</t>
        </is>
      </c>
      <c r="Q94" s="8" t="inlineStr">
        <is>
          <t>प्रति किमी² 5,700 लोग</t>
        </is>
      </c>
      <c r="R94" s="8" t="inlineStr">
        <is>
          <t>5.700 orang per km²</t>
        </is>
      </c>
      <c r="S94" s="8" t="inlineStr">
        <is>
          <t>5.700 abitanti per km²</t>
        </is>
      </c>
      <c r="T94" s="3" t="inlineStr">
        <is>
          <t>1km²あたり5,700人</t>
        </is>
      </c>
      <c r="U94" s="3" t="inlineStr">
        <is>
          <t>km²당 5,700명</t>
        </is>
      </c>
      <c r="V94" s="3" t="inlineStr">
        <is>
          <t>5,700 tangata mo ia km²</t>
        </is>
      </c>
      <c r="W94" s="3" t="inlineStr">
        <is>
          <t>प्रति किमी 5,700 मान्छे</t>
        </is>
      </c>
      <c r="X94" s="44" t="inlineStr">
        <is>
          <t>۵۷۰۰ نفر در هر کیلومتر مربع</t>
        </is>
      </c>
      <c r="Y94" s="3" t="inlineStr">
        <is>
          <t>5.700 pessoas por km²</t>
        </is>
      </c>
      <c r="Z94" s="3" t="inlineStr">
        <is>
          <t>5.700 pessoas por km²</t>
        </is>
      </c>
      <c r="AA94" s="3" t="inlineStr">
        <is>
          <t>5,700 personas por km²</t>
        </is>
      </c>
      <c r="AB94" s="3" t="inlineStr">
        <is>
          <t>5.700 personas por km²</t>
        </is>
      </c>
      <c r="AC94" s="3" t="inlineStr">
        <is>
          <t>ஒரு கிமீ²க்கு 5,700 பேர்</t>
        </is>
      </c>
      <c r="AD94" s="3" t="inlineStr">
        <is>
          <t>5,700 คน​ต่อ​ตาราง​กิโลเมตร</t>
        </is>
      </c>
      <c r="AE94" s="3" t="inlineStr">
        <is>
          <t>5.700 kişi/km²</t>
        </is>
      </c>
      <c r="AF94" s="3" t="inlineStr">
        <is>
          <t>5700 осіб на км²</t>
        </is>
      </c>
      <c r="AG94" s="3" t="inlineStr">
        <is>
          <t>5.700 người trên mỗikm²</t>
        </is>
      </c>
    </row>
    <row r="95" ht="45" customHeight="1">
      <c r="A95" s="15" t="inlineStr">
        <is>
          <t>template</t>
        </is>
      </c>
      <c r="B95" s="15" t="inlineStr">
        <is>
          <t>threshold intersections</t>
        </is>
      </c>
      <c r="C95" s="10" t="inlineStr">
        <is>
          <t>100 intersections per km²</t>
        </is>
      </c>
      <c r="D95" s="8" t="inlineStr">
        <is>
          <t>100 تقاطع لكل كيلومتر مربع</t>
        </is>
      </c>
      <c r="E95" s="8" t="inlineStr">
        <is>
          <t>100 interseccions per km²</t>
        </is>
      </c>
      <c r="F95" s="10" t="inlineStr">
        <is>
          <t>每平方公里 100 个交叉路口</t>
        </is>
      </c>
      <c r="G95" s="11" t="inlineStr">
        <is>
          <t>每平方公里 100 路口</t>
        </is>
      </c>
      <c r="H95" s="16" t="inlineStr">
        <is>
          <t>100 raskrižja po km²</t>
        </is>
      </c>
      <c r="I95" s="11" t="inlineStr">
        <is>
          <t>100 křižovatek na km²</t>
        </is>
      </c>
      <c r="J95" s="16" t="inlineStr">
        <is>
          <t>100 kryds pr. km²</t>
        </is>
      </c>
      <c r="K95" s="16" t="inlineStr">
        <is>
          <t>100 kruispunten per km²</t>
        </is>
      </c>
      <c r="L95" s="8" t="inlineStr">
        <is>
          <t>100 risteystä/km²</t>
        </is>
      </c>
      <c r="M95" s="8" t="inlineStr">
        <is>
          <t>100 carrefours par km²</t>
        </is>
      </c>
      <c r="N95" s="11" t="inlineStr">
        <is>
          <t>100 Kreuzungen pro km²</t>
        </is>
      </c>
      <c r="O95" s="8" t="inlineStr">
        <is>
          <t>100 διασταυρώσεις ανά km²</t>
        </is>
      </c>
      <c r="P95" s="8" t="inlineStr">
        <is>
          <t>100 mahadar akowace km²</t>
        </is>
      </c>
      <c r="Q95" s="8" t="inlineStr">
        <is>
          <t>प्रति किमी² 100 चौराहे</t>
        </is>
      </c>
      <c r="R95" s="8" t="inlineStr">
        <is>
          <t>100 persimpangan per km²</t>
        </is>
      </c>
      <c r="S95" s="8" t="inlineStr">
        <is>
          <t>100 incroci al km²</t>
        </is>
      </c>
      <c r="T95" s="3" t="inlineStr">
        <is>
          <t>1km²あたり100の交差点</t>
        </is>
      </c>
      <c r="U95" s="3" t="inlineStr">
        <is>
          <t>km²당 교차로 100개</t>
        </is>
      </c>
      <c r="V95" s="3" t="inlineStr">
        <is>
          <t>100 nga whakawhitinga mo ia km²</t>
        </is>
      </c>
      <c r="W95" s="3" t="inlineStr">
        <is>
          <t>प्रति किमी 100 प्रतिच्छेदन</t>
        </is>
      </c>
      <c r="X95" s="44" t="inlineStr">
        <is>
          <t>100 تقاطع در هر کیلومتر مربع</t>
        </is>
      </c>
      <c r="Y95" s="3" t="inlineStr">
        <is>
          <t>100 cruzamentos por km²</t>
        </is>
      </c>
      <c r="Z95" s="3" t="inlineStr">
        <is>
          <t>100 cruzamentos por km²</t>
        </is>
      </c>
      <c r="AA95" s="3" t="inlineStr">
        <is>
          <t>100 intersecciones por km²</t>
        </is>
      </c>
      <c r="AB95" s="3" t="inlineStr">
        <is>
          <t>100 intersecciones por km²</t>
        </is>
      </c>
      <c r="AC95" s="3" t="inlineStr">
        <is>
          <t>ஒரு கிமீ²க்கு 100 சந்திப்புகள்</t>
        </is>
      </c>
      <c r="AD95" s="3" t="inlineStr">
        <is>
          <t>100 ทาง​แยก​ต่อ​ตาราง​กิโลเมตร</t>
        </is>
      </c>
      <c r="AE95" s="3" t="inlineStr">
        <is>
          <t>100 kavşak/km²</t>
        </is>
      </c>
      <c r="AF95" s="3" t="inlineStr">
        <is>
          <t>100 перехресть на км²</t>
        </is>
      </c>
      <c r="AG95" s="3" t="inlineStr">
        <is>
          <t>100 nút giao trên mỗi km²</t>
        </is>
      </c>
    </row>
    <row r="96">
      <c r="A96" s="15" t="inlineStr">
        <is>
          <t>template</t>
        </is>
      </c>
      <c r="B96" s="15" t="inlineStr">
        <is>
          <t>target threshold</t>
        </is>
      </c>
      <c r="C96" s="10" t="inlineStr">
        <is>
          <t>target threshold</t>
        </is>
      </c>
      <c r="D96" s="8" t="inlineStr">
        <is>
          <t>عتبة الهدف</t>
        </is>
      </c>
      <c r="E96" s="8" t="inlineStr">
        <is>
          <t>llindar objectiu</t>
        </is>
      </c>
      <c r="F96" s="10" t="inlineStr">
        <is>
          <t>目标阈值</t>
        </is>
      </c>
      <c r="G96" s="11" t="inlineStr">
        <is>
          <t>目標閾值</t>
        </is>
      </c>
      <c r="H96" s="16" t="inlineStr">
        <is>
          <t>ciljni prag</t>
        </is>
      </c>
      <c r="I96" s="11" t="inlineStr">
        <is>
          <t>cílový práh</t>
        </is>
      </c>
      <c r="J96" s="16" t="inlineStr">
        <is>
          <t>måltærskel</t>
        </is>
      </c>
      <c r="K96" s="16" t="inlineStr">
        <is>
          <t>doeldrempel</t>
        </is>
      </c>
      <c r="L96" s="8" t="inlineStr">
        <is>
          <t>tavoitteen kynnysarvo</t>
        </is>
      </c>
      <c r="M96" s="8" t="inlineStr">
        <is>
          <t>seuil cible</t>
        </is>
      </c>
      <c r="N96" s="11" t="inlineStr">
        <is>
          <t>Zielschwelle</t>
        </is>
      </c>
      <c r="O96" s="8" t="inlineStr">
        <is>
          <t>όριο στόχου</t>
        </is>
      </c>
      <c r="P96" s="8" t="inlineStr">
        <is>
          <t>manufa kofa</t>
        </is>
      </c>
      <c r="Q96" s="8" t="inlineStr">
        <is>
          <t>लक्ष्य सीमा</t>
        </is>
      </c>
      <c r="R96" s="8" t="inlineStr">
        <is>
          <t>ambang batas sasaran</t>
        </is>
      </c>
      <c r="S96" s="8" t="inlineStr">
        <is>
          <t>soglia obiettivo</t>
        </is>
      </c>
      <c r="T96" s="3" t="inlineStr">
        <is>
          <t>目標閾値</t>
        </is>
      </c>
      <c r="U96" s="3" t="inlineStr">
        <is>
          <t>목표 기준</t>
        </is>
      </c>
      <c r="V96" s="3" t="inlineStr">
        <is>
          <t>taumata taumata</t>
        </is>
      </c>
      <c r="W96" s="3" t="inlineStr">
        <is>
          <t>लक्ष्य थ्रेसहोल्ड</t>
        </is>
      </c>
      <c r="X96" s="44" t="inlineStr">
        <is>
          <t>آستانه هدف</t>
        </is>
      </c>
      <c r="Y96" s="3" t="inlineStr">
        <is>
          <t>Limiar alvo</t>
        </is>
      </c>
      <c r="Z96" s="3" t="inlineStr">
        <is>
          <t>limite alvo</t>
        </is>
      </c>
      <c r="AA96" s="3" t="inlineStr">
        <is>
          <t>umbral objetivo</t>
        </is>
      </c>
      <c r="AB96" s="3" t="inlineStr">
        <is>
          <t>umbral de referencia</t>
        </is>
      </c>
      <c r="AC96" s="3" t="inlineStr">
        <is>
          <t>இலக்கு வாசல்</t>
        </is>
      </c>
      <c r="AD96" s="3" t="inlineStr">
        <is>
          <t>เกณฑ์​เป้าหมาย</t>
        </is>
      </c>
      <c r="AE96" s="3" t="inlineStr">
        <is>
          <t>hedef eşik değer</t>
        </is>
      </c>
      <c r="AF96" s="3" t="inlineStr">
        <is>
          <t>цільовий поріг</t>
        </is>
      </c>
      <c r="AG96" s="3" t="inlineStr">
        <is>
          <t>ngưỡng mục tiêu</t>
        </is>
      </c>
    </row>
    <row r="97">
      <c r="A97" s="15" t="inlineStr">
        <is>
          <t>policy_check</t>
        </is>
      </c>
      <c r="B97" s="15" t="inlineStr">
        <is>
          <t>Policy identified</t>
        </is>
      </c>
      <c r="C97" s="9" t="inlineStr">
        <is>
          <t>Policy identified</t>
        </is>
      </c>
      <c r="D97" s="8" t="inlineStr">
        <is>
          <t>تم تحديد السياسة</t>
        </is>
      </c>
      <c r="E97" s="8" t="inlineStr">
        <is>
          <t>Política identificada</t>
        </is>
      </c>
      <c r="F97" s="9" t="inlineStr">
        <is>
          <t>现有政策</t>
        </is>
      </c>
      <c r="G97" s="8" t="inlineStr">
        <is>
          <t>現有政策</t>
        </is>
      </c>
      <c r="H97" s="16" t="inlineStr">
        <is>
          <t>Politika identificirana</t>
        </is>
      </c>
      <c r="I97" s="8" t="inlineStr">
        <is>
          <t>Dokument k dispozici</t>
        </is>
      </c>
      <c r="J97" s="16" t="inlineStr">
        <is>
          <t>Identificeret politik</t>
        </is>
      </c>
      <c r="K97" s="16" t="inlineStr">
        <is>
          <t>Beleid geïdentificeerd</t>
        </is>
      </c>
      <c r="L97" s="8" t="inlineStr">
        <is>
          <t>Politiikkadokumentti tai muu yksittäinen poliittinen ohjauskeino tunnistettu</t>
        </is>
      </c>
      <c r="M97" s="8" t="inlineStr">
        <is>
          <t>Politique identifiée</t>
        </is>
      </c>
      <c r="N97" s="8" t="inlineStr">
        <is>
          <t>Richtlinie identifiziert</t>
        </is>
      </c>
      <c r="O97" s="8" t="inlineStr">
        <is>
          <t>Προσδιορίστηκε πολιτική</t>
        </is>
      </c>
      <c r="P97" s="8" t="inlineStr">
        <is>
          <t>An gano manufar</t>
        </is>
      </c>
      <c r="Q97" s="8" t="inlineStr">
        <is>
          <t>नीति की पहचान की गई</t>
        </is>
      </c>
      <c r="R97" s="8" t="inlineStr">
        <is>
          <t>Kebijakan diidentifikasi</t>
        </is>
      </c>
      <c r="S97" s="8" t="inlineStr">
        <is>
          <t>Politica identificata</t>
        </is>
      </c>
      <c r="T97" s="3" t="inlineStr">
        <is>
          <t>政策が存在</t>
        </is>
      </c>
      <c r="U97" s="3" t="inlineStr">
        <is>
          <t>확인된 정책</t>
        </is>
      </c>
      <c r="V97" s="3" t="inlineStr">
        <is>
          <t>Ngā Kaupapahere</t>
        </is>
      </c>
      <c r="W97" s="3" t="inlineStr">
        <is>
          <t>नीति पहिचान गरियो</t>
        </is>
      </c>
      <c r="X97" s="44" t="inlineStr">
        <is>
          <t>سیاست‌های شناسایی‌شده</t>
        </is>
      </c>
      <c r="Y97" s="3" t="inlineStr">
        <is>
          <t>Política identificada</t>
        </is>
      </c>
      <c r="Z97" s="3" t="inlineStr">
        <is>
          <t>Política identificada</t>
        </is>
      </c>
      <c r="AA97" s="3" t="inlineStr">
        <is>
          <t>Política identificada</t>
        </is>
      </c>
      <c r="AB97" s="3" t="inlineStr">
        <is>
          <t>Política identificada</t>
        </is>
      </c>
      <c r="AC97" s="3" t="inlineStr">
        <is>
          <t>கண்டறியப்பட்ட கொள்கை</t>
        </is>
      </c>
      <c r="AD97" s="3" t="inlineStr">
        <is>
          <t>นโยบาย​ที่​กำหนด</t>
        </is>
      </c>
      <c r="AE97" s="3" t="inlineStr">
        <is>
          <t>Politika mevcut</t>
        </is>
      </c>
      <c r="AF97" s="3" t="inlineStr">
        <is>
          <t>Політика визначена</t>
        </is>
      </c>
      <c r="AG97" s="3" t="inlineStr">
        <is>
          <t>Chính sách đãđược xác định</t>
        </is>
      </c>
    </row>
    <row r="98">
      <c r="A98" s="15" t="inlineStr">
        <is>
          <t>policy_check</t>
        </is>
      </c>
      <c r="B98" s="15" t="inlineStr">
        <is>
          <t>Aligns with healthy cities principles</t>
        </is>
      </c>
      <c r="C98" s="9" t="inlineStr">
        <is>
          <t>Aligns with healthy cities evidence</t>
        </is>
      </c>
      <c r="D98" s="8" t="inlineStr">
        <is>
          <t>يتوافق مع أدلة المدن الصحية</t>
        </is>
      </c>
      <c r="E98" s="8" t="inlineStr">
        <is>
          <t>S'alinea amb l'evidència de ciutats saludables</t>
        </is>
      </c>
      <c r="F98" s="9" t="inlineStr">
        <is>
          <t>与健康城市证据一致</t>
        </is>
      </c>
      <c r="G98" s="8" t="inlineStr">
        <is>
          <t>與健康城市證據一致</t>
        </is>
      </c>
      <c r="H98" s="16" t="inlineStr">
        <is>
          <t>U skladu s dokazima o zdravim gradovima</t>
        </is>
      </c>
      <c r="I98" s="8" t="inlineStr">
        <is>
          <t>V souladu s důkazy zdravých měst</t>
        </is>
      </c>
      <c r="J98" s="16" t="inlineStr">
        <is>
          <t>Er på linje med beviser for sunde byer</t>
        </is>
      </c>
      <c r="K98" s="16" t="inlineStr">
        <is>
          <t>Sluit aan bij het bewijs van gezonde steden</t>
        </is>
      </c>
      <c r="L98" s="8" t="inlineStr">
        <is>
          <t>Myötäilee tieteellistä näyttöä terveellisistä kaupungeista</t>
        </is>
      </c>
      <c r="M98" s="8" t="inlineStr">
        <is>
          <t>Conforme aux données probantes sur les villes saines</t>
        </is>
      </c>
      <c r="N98" s="8" t="inlineStr">
        <is>
          <t>Entspricht den Erkenntnissen zu gesunden Städten</t>
        </is>
      </c>
      <c r="O98" s="8" t="inlineStr">
        <is>
          <t>Ευθυγραμμίζεται με στοιχεία υγιών πόλεων</t>
        </is>
      </c>
      <c r="P98" s="8" t="inlineStr">
        <is>
          <t>Daidaita da shaidar birane masu lafiya</t>
        </is>
      </c>
      <c r="Q98" s="8" t="inlineStr">
        <is>
          <t>स्वस्थ शहरों के साक्ष्य के साथ संरेखित</t>
        </is>
      </c>
      <c r="R98" s="8" t="inlineStr">
        <is>
          <t>Selaras dengan bukti kota sehat</t>
        </is>
      </c>
      <c r="S98" s="8" t="inlineStr">
        <is>
          <t>In linea con le evidenze osservate in città sane</t>
        </is>
      </c>
      <c r="T98" s="3" t="inlineStr">
        <is>
          <t>健康な都市のエビデンスに適合</t>
        </is>
      </c>
      <c r="U98" s="3" t="inlineStr">
        <is>
          <t>건강한 도시 기준에 부합함</t>
        </is>
      </c>
      <c r="V98" s="3" t="inlineStr">
        <is>
          <t>Ka whakahāngai ki nga taunakitanga taone hauora</t>
        </is>
      </c>
      <c r="W98" s="3" t="inlineStr">
        <is>
          <t>स्वस्थ शहर प्रमाण संग पङ्क्तिबद्ध</t>
        </is>
      </c>
      <c r="X98" s="44" t="inlineStr">
        <is>
          <t>سیاست‌های همسو با شواهد شهرهای سالم</t>
        </is>
      </c>
      <c r="Y98" s="3" t="inlineStr">
        <is>
          <t>Alinha-se com as evidências de cidades saudáveis</t>
        </is>
      </c>
      <c r="Z98" s="3" t="inlineStr">
        <is>
          <t>Alinha-se com as evidências de cidades saudáveis</t>
        </is>
      </c>
      <c r="AA98" s="3" t="inlineStr">
        <is>
          <t>Se alinea con la evidencia de ciudades saludables</t>
        </is>
      </c>
      <c r="AB98" s="3" t="inlineStr">
        <is>
          <t>Se alinea con la evidencia de ciudades saludables</t>
        </is>
      </c>
      <c r="AC98" s="3" t="inlineStr">
        <is>
          <t>ஆரோக்கியமான நகரங்களின் சான்றுகளுடன் இணைகிறது</t>
        </is>
      </c>
      <c r="AD98" s="3" t="inlineStr">
        <is>
          <t>สอด​คล้อง​ของ​หลัก​ฐาน​ที่​เกี่ยว​ข้อง​กับ​เมือง​สุขภาพ​ดี</t>
        </is>
      </c>
      <c r="AE98" s="3" t="inlineStr">
        <is>
          <t>Sağlıklı şehir kanıtlarıyla uyumlu</t>
        </is>
      </c>
      <c r="AF98" s="3" t="inlineStr">
        <is>
          <t>Збігається з доказами здорових міст</t>
        </is>
      </c>
      <c r="AG98" s="3" t="inlineStr">
        <is>
          <t>Phù hợp với bằng chứng về thành phố lành mạnh</t>
        </is>
      </c>
    </row>
    <row r="99" ht="30" customHeight="1">
      <c r="A99" s="15" t="inlineStr">
        <is>
          <t>policy_check</t>
        </is>
      </c>
      <c r="B99" s="15" t="inlineStr">
        <is>
          <t>Measurable target</t>
        </is>
      </c>
      <c r="C99" s="9" t="inlineStr">
        <is>
          <t>Measurable target</t>
        </is>
      </c>
      <c r="D99" s="8" t="inlineStr">
        <is>
          <t>هدف قابل للقياس</t>
        </is>
      </c>
      <c r="E99" s="8" t="inlineStr">
        <is>
          <t>Objectiu mesurable</t>
        </is>
      </c>
      <c r="F99" s="9" t="inlineStr">
        <is>
          <t>可衡量的目标</t>
        </is>
      </c>
      <c r="G99" s="8" t="inlineStr">
        <is>
          <t>可衡量的目標</t>
        </is>
      </c>
      <c r="H99" s="16" t="inlineStr">
        <is>
          <t>Mjerljivi cilj</t>
        </is>
      </c>
      <c r="I99" s="8" t="inlineStr">
        <is>
          <t>Měřitelný cíl</t>
        </is>
      </c>
      <c r="J99" s="16" t="inlineStr">
        <is>
          <t>Målbar målsætning</t>
        </is>
      </c>
      <c r="K99" s="16" t="inlineStr">
        <is>
          <t>Meetbaar doel</t>
        </is>
      </c>
      <c r="L99" s="8" t="inlineStr">
        <is>
          <t>Mitattavissa oleva tavoite</t>
        </is>
      </c>
      <c r="M99" s="8" t="inlineStr">
        <is>
          <t>Cible mesurable</t>
        </is>
      </c>
      <c r="N99" s="8" t="inlineStr">
        <is>
          <t>Messbares Ziel</t>
        </is>
      </c>
      <c r="O99" s="8" t="inlineStr">
        <is>
          <t>Μετρήσιμος στόχος</t>
        </is>
      </c>
      <c r="P99" s="8" t="inlineStr">
        <is>
          <t>Makasudin aunawa</t>
        </is>
      </c>
      <c r="Q99" s="8" t="inlineStr">
        <is>
          <t>मापने योग्य लक्ष्य</t>
        </is>
      </c>
      <c r="R99" s="8" t="inlineStr">
        <is>
          <t>Sasaran yang terukur</t>
        </is>
      </c>
      <c r="S99" s="8" t="inlineStr">
        <is>
          <t>Obiettivo misurabile</t>
        </is>
      </c>
      <c r="T99" s="3" t="inlineStr">
        <is>
          <t>測定可能な目標</t>
        </is>
      </c>
      <c r="U99" s="3" t="inlineStr">
        <is>
          <t>측정 가능한 목표</t>
        </is>
      </c>
      <c r="V99" s="3" t="inlineStr">
        <is>
          <t>Te Taumata Whakaine</t>
        </is>
      </c>
      <c r="W99" s="3" t="inlineStr">
        <is>
          <t>मापनयोग्य लक्ष्य</t>
        </is>
      </c>
      <c r="X99" s="44" t="inlineStr">
        <is>
          <t>هدف قابل اندازه گیری</t>
        </is>
      </c>
      <c r="Y99" s="3" t="inlineStr">
        <is>
          <t>Meta mensurável</t>
        </is>
      </c>
      <c r="Z99" s="3" t="inlineStr">
        <is>
          <t>Meta mensurável</t>
        </is>
      </c>
      <c r="AA99" s="3" t="inlineStr">
        <is>
          <t>Objetivo medible</t>
        </is>
      </c>
      <c r="AB99" s="3" t="inlineStr">
        <is>
          <t>Objetivo medible</t>
        </is>
      </c>
      <c r="AC99" s="3" t="inlineStr">
        <is>
          <t>அளவிடக்கூடிய இலக்கு</t>
        </is>
      </c>
      <c r="AD99" s="3" t="inlineStr">
        <is>
          <t>เป้าหมาย​ที่​วัด​ได้</t>
        </is>
      </c>
      <c r="AE99" s="3" t="inlineStr">
        <is>
          <t>Ölçülebilir hedef</t>
        </is>
      </c>
      <c r="AF99" s="3" t="inlineStr">
        <is>
          <t>Вимірна ціль</t>
        </is>
      </c>
      <c r="AG99" s="3" t="inlineStr">
        <is>
          <t>Mục tiêu có thể đo lường được</t>
        </is>
      </c>
    </row>
    <row r="100" ht="30" customHeight="1">
      <c r="A100" s="15" t="inlineStr">
        <is>
          <t>policy_check</t>
        </is>
      </c>
      <c r="B100" s="15" t="inlineStr">
        <is>
          <t>Evidence-informed threshold</t>
        </is>
      </c>
      <c r="C100" s="9" t="inlineStr">
        <is>
          <t>Evidence- informed threshold</t>
        </is>
      </c>
      <c r="D100" s="8" t="inlineStr">
        <is>
          <t>عتبة مستنيرة بالأدلة</t>
        </is>
      </c>
      <c r="E100" s="8" t="inlineStr">
        <is>
          <t>Llindar informat per evidència</t>
        </is>
      </c>
      <c r="F100" s="9" t="inlineStr">
        <is>
          <t>循证阈值</t>
        </is>
      </c>
      <c r="G100" s="8" t="inlineStr">
        <is>
          <t>循證閾值</t>
        </is>
      </c>
      <c r="H100" s="16" t="inlineStr">
        <is>
          <t>Dokazno informirani prag</t>
        </is>
      </c>
      <c r="I100" s="8" t="inlineStr">
        <is>
          <t>Prahová hodnota založená na důkazech</t>
        </is>
      </c>
      <c r="J100" s="16" t="inlineStr">
        <is>
          <t>Evidens-informeret tærskel</t>
        </is>
      </c>
      <c r="K100" s="16" t="inlineStr">
        <is>
          <t>Op bewijs gebaseerde drempel</t>
        </is>
      </c>
      <c r="L100" s="8" t="inlineStr">
        <is>
          <t>Tieteelliseen näyttöön perustuva kynnysarvo</t>
        </is>
      </c>
      <c r="M100" s="8" t="inlineStr">
        <is>
          <t>Seuil fondé sur des données probantes</t>
        </is>
      </c>
      <c r="N100" s="8" t="inlineStr">
        <is>
          <t>Evidenzbasierte Schwelle</t>
        </is>
      </c>
      <c r="O100" s="8" t="inlineStr">
        <is>
          <t>Κατώφλι βάσει αποδεικτικών στοιχείων</t>
        </is>
      </c>
      <c r="P100" s="8" t="inlineStr">
        <is>
          <t>Shaida - bakin kofa</t>
        </is>
      </c>
      <c r="Q100" s="8" t="inlineStr">
        <is>
          <t>साक्ष्य- सूचित सीमा</t>
        </is>
      </c>
      <c r="R100" s="8" t="inlineStr">
        <is>
          <t>Bukti- ambang batas yang diinformasikan</t>
        </is>
      </c>
      <c r="S100" s="8" t="inlineStr">
        <is>
          <t>Soglia informata dall'evidenza</t>
        </is>
      </c>
      <c r="T100" s="3" t="inlineStr">
        <is>
          <t>エビデンスに基づいた閾値</t>
        </is>
      </c>
      <c r="U100" s="3" t="inlineStr">
        <is>
          <t>근거 기반 기준</t>
        </is>
      </c>
      <c r="V100" s="3" t="inlineStr">
        <is>
          <t>Te paepae whakamohio i nga taunakitanga</t>
        </is>
      </c>
      <c r="W100" s="3" t="inlineStr">
        <is>
          <t>प्रमाण - सूचित थ्रेसहोल्ड</t>
        </is>
      </c>
      <c r="X100" s="44" t="inlineStr">
        <is>
          <t>آستانه مبتنی بر شواهد</t>
        </is>
      </c>
      <c r="Y100" s="3" t="inlineStr">
        <is>
          <t>Limiar informado por evidências</t>
        </is>
      </c>
      <c r="Z100" s="3" t="inlineStr">
        <is>
          <t>Limite informado por evidências</t>
        </is>
      </c>
      <c r="AA100" s="3" t="inlineStr">
        <is>
          <t>Umbral basado en evidencia</t>
        </is>
      </c>
      <c r="AB100" s="3" t="inlineStr">
        <is>
          <t>Umbral basado en evidencia científica</t>
        </is>
      </c>
      <c r="AC100" s="3" t="inlineStr">
        <is>
          <t>சான்று-அறிவிக்கப்பட்ட வாசல்</t>
        </is>
      </c>
      <c r="AD100" s="3" t="inlineStr">
        <is>
          <t>เกณฑ์​ที่​กำหนด​และ​หลัก​ฐาน</t>
        </is>
      </c>
      <c r="AE100" s="3" t="inlineStr">
        <is>
          <t>Kanıta dayalı eşik</t>
        </is>
      </c>
      <c r="AF100" s="3" t="inlineStr">
        <is>
          <t>Доказовий поріг</t>
        </is>
      </c>
      <c r="AG100" s="3" t="inlineStr">
        <is>
          <t>Ngưỡng dựa trên bằng chứng</t>
        </is>
      </c>
    </row>
    <row r="101">
      <c r="A101" s="15" t="inlineStr">
        <is>
          <t>template</t>
        </is>
      </c>
      <c r="B101" s="15" t="inlineStr">
        <is>
          <t>Policy key</t>
        </is>
      </c>
      <c r="C101" s="9" t="inlineStr">
        <is>
          <t>Key: Yes ✔  No ✘    Mixed ✔/✘   Not applicable -</t>
        </is>
      </c>
      <c r="D101" s="3" t="inlineStr">
        <is>
          <t>المفتاح: نعم ✔ لا ✘ مختلط ✔/✘ لا ينطبق -</t>
        </is>
      </c>
      <c r="E101" s="3" t="inlineStr">
        <is>
          <t>Clau: Sí ✔ No ✘ Mixt ✔/✘ No aplicable -</t>
        </is>
      </c>
      <c r="F101" s="9" t="inlineStr">
        <is>
          <t>要点：是 ✔ 否 ✘ 混合 ✔/✘ 不适用 -</t>
        </is>
      </c>
      <c r="G101" s="8" t="inlineStr">
        <is>
          <t>重點：是 ✔ 否 ✘ 混合 ✔/✘ 不適用 -</t>
        </is>
      </c>
      <c r="H101" s="16" t="inlineStr">
        <is>
          <t>Ključ: Da ✔ Ne ✘ Mješovito ✔/✘ Nije primjenjivo -</t>
        </is>
      </c>
      <c r="I101" s="8" t="inlineStr">
        <is>
          <t>Klíč: Ano ✔ Ne ✘ Smíšené ✔/✘ Nelze použít -</t>
        </is>
      </c>
      <c r="J101" s="16" t="inlineStr">
        <is>
          <t>Nøgle: Ja ✔ Nej ✘ Blandet ✔/✘ Ikke relevant -</t>
        </is>
      </c>
      <c r="K101" s="16" t="inlineStr">
        <is>
          <t>Legende: Ja ✔ Nee ✘ Gemengd ✔/✘ Niet van toepassing -</t>
        </is>
      </c>
      <c r="L101" s="8" t="inlineStr">
        <is>
          <t>Tunniste: Kyllä ✔ Ei ✘ Sekalainen ✔/✘ Ei sovellu -</t>
        </is>
      </c>
      <c r="M101" s="8" t="inlineStr">
        <is>
          <t>Légende : Oui ✔ Non ✘ Mixte ✔/✘ Non applicable -</t>
        </is>
      </c>
      <c r="N101" s="8" t="inlineStr">
        <is>
          <t>Schlüssel: Ja ✔ Nein ✘ Gemischt ✔/✘ Nicht anwendbar -</t>
        </is>
      </c>
      <c r="O101" s="8" t="inlineStr">
        <is>
          <t>Κλειδί: Ναι ✔ Όχι ✘ Μικτό ✔/✘ Δεν ισχύει -</t>
        </is>
      </c>
      <c r="P101" s="8" t="inlineStr">
        <is>
          <t>Maɓalli: Ee ✔ A'a ✘ Mixed ✔/✘ Ba a zartar ba -</t>
        </is>
      </c>
      <c r="Q101" s="8" t="inlineStr">
        <is>
          <t>कुंजी: हाँ ✔ नहीं ✘ मिश्रित ✔/✘ लागू नहीं -</t>
        </is>
      </c>
      <c r="R101" s="8" t="inlineStr">
        <is>
          <t>Kunci: Ya ✔ Tidak ✘ Campuran ✔/✘ Tidak berlaku -</t>
        </is>
      </c>
      <c r="S101" s="8" t="inlineStr">
        <is>
          <t>Legenda: Sì ✔ No ✘ Misto ✔/✘ Non applicabile -</t>
        </is>
      </c>
      <c r="T101" s="3" t="inlineStr">
        <is>
          <t>キー: はい ✔ いいえ ✘ 混在 ✔/✘ 該当なし -</t>
        </is>
      </c>
      <c r="U101" s="3" t="inlineStr">
        <is>
          <t>키: 예 ✔ 아니요 ✘ 혼합 ✔/✘ 해당 없음 -</t>
        </is>
      </c>
      <c r="V101" s="3" t="inlineStr">
        <is>
          <t>Kī: Āe ✔ Kāo ✘ Ranu ✔/✘ Kāore e hāngai -</t>
        </is>
      </c>
      <c r="W101" s="3" t="inlineStr">
        <is>
          <t>कुञ्जी: हो ✔ होइन ✘ मिश्रित ✔/✘ लागू हुँदैन -</t>
        </is>
      </c>
      <c r="X101" s="44" t="inlineStr">
        <is>
          <t>کلید: بله ✔ خیر ✘ ترکیبی ✔/✘ قابل اجرا نیست -</t>
        </is>
      </c>
      <c r="Y101" s="3" t="inlineStr">
        <is>
          <t>Legenda: Sim ✔ Não ✘ Misto ✔/✘ Não aplicável -</t>
        </is>
      </c>
      <c r="Z101" s="3" t="inlineStr">
        <is>
          <t>Legenda: Sim ✔ Não ✘ Misto ✔/✘ Não aplicável -</t>
        </is>
      </c>
      <c r="AA101" s="3" t="inlineStr">
        <is>
          <t>Clave: Sí ✔ No ✘ Mixto ✔/✘ No aplica -</t>
        </is>
      </c>
      <c r="AB101" s="3" t="inlineStr">
        <is>
          <t>Clave: Sí ✔ No ✘ Mixto ✔/✘ No aplica -</t>
        </is>
      </c>
      <c r="AC101" s="3" t="inlineStr">
        <is>
          <t>விசை: ஆம் ✔ இல்லை ✘ கலப்பு ✔/✘ பொருந்தாது -</t>
        </is>
      </c>
      <c r="AD101" s="3" t="inlineStr">
        <is>
          <t>คำ​ตอบ: ใช่ (✔) ไม่​ใช่ (✘) ใช่​หรือ​ไม่ (✔/✘) ไม่​เกี่ยว​ข้อง ( - )</t>
        </is>
      </c>
      <c r="AE101" s="3" t="inlineStr">
        <is>
          <t>İşaretler: Evet ✔ Hayır ✘ Karma ✔/✘ Uygulanamaz -</t>
        </is>
      </c>
      <c r="AF101" s="3" t="inlineStr">
        <is>
          <t>Ключ: Так ✔ Ні ✘ Змішаний ✔/✘ Не застосовується -</t>
        </is>
      </c>
      <c r="AG101" s="3" t="inlineStr">
        <is>
          <t>Chìa khóa: Có ✔ Không ✘ Hỗn hợp ✔/✘ Không áp dụng -</t>
        </is>
      </c>
    </row>
    <row r="102">
      <c r="A102" s="15" t="inlineStr">
        <is>
          <t>policy</t>
        </is>
      </c>
      <c r="B102" s="15" t="inlineStr">
        <is>
          <t>Integrated city planning policies for health and sustainability</t>
        </is>
      </c>
      <c r="C102" s="9" t="inlineStr">
        <is>
          <t>Integrated city planning policies for health and sustainability</t>
        </is>
      </c>
      <c r="D102" s="18" t="inlineStr">
        <is>
          <t>سياسات تخطيط المدن المتكاملة من أجل الصحة والاستدامة</t>
        </is>
      </c>
      <c r="E102" s="18" t="inlineStr">
        <is>
          <t>Polítiques d'urbanisme integrats per a la salut i la sostenibilitat</t>
        </is>
      </c>
      <c r="F102" s="9" t="inlineStr">
        <is>
          <t>促进健康和可持续发展的综合城市规划政策</t>
        </is>
      </c>
      <c r="G102" s="8" t="inlineStr">
        <is>
          <t>促進健康與永續發展的綜合城市規劃政策</t>
        </is>
      </c>
      <c r="H102" s="16" t="inlineStr">
        <is>
          <t>Politike integriranog planiranja grada za zdravlje i održivost</t>
        </is>
      </c>
      <c r="I102" s="8" t="inlineStr">
        <is>
          <t>Integrované politiky městského plánování pro zdraví a udržitelnost</t>
        </is>
      </c>
      <c r="J102" s="16" t="inlineStr">
        <is>
          <t>Integrerede byplanlægningspolitikker for sundhed og bæredygtighed</t>
        </is>
      </c>
      <c r="K102" s="16" t="inlineStr">
        <is>
          <t>Geïntegreerd stadsplanningsbeleid voor gezondheid en duurzaamheid</t>
        </is>
      </c>
      <c r="L102" s="8" t="inlineStr">
        <is>
          <t>Terveyden ja kestävyyden integrointi kaupunkisuunnittelupolitiikassa</t>
        </is>
      </c>
      <c r="M102" s="8" t="inlineStr">
        <is>
          <t>Politiques d’urbanisme intégrées pour la santé et la durabilité</t>
        </is>
      </c>
      <c r="N102" s="8" t="inlineStr">
        <is>
          <t>Integrierte Stadtplanungspolitik für Gesundheit und Nachhaltigkeit</t>
        </is>
      </c>
      <c r="O102" s="8" t="inlineStr">
        <is>
          <t>Ολοκληρωμένες πολεοδομικές πολιτικές για την υγεία και την αειφορία</t>
        </is>
      </c>
      <c r="P102" s="8" t="inlineStr">
        <is>
          <t>Hadaddiyar manufofin tsara birni don lafiya da dorewa</t>
        </is>
      </c>
      <c r="Q102" s="8" t="inlineStr">
        <is>
          <t>स्वास्थ्य और स्थिरता के लिए एकीकृत शहर नियोजन नीतियां</t>
        </is>
      </c>
      <c r="R102" s="8" t="inlineStr">
        <is>
          <t>Kebijakan perencanaan kota terpadu untuk kesehatan dan keberlanjutan</t>
        </is>
      </c>
      <c r="S102" s="8" t="inlineStr">
        <is>
          <t>Politiche urbanistiche integrate per la salute e la sostenibilità</t>
        </is>
      </c>
      <c r="T102" s="3" t="inlineStr">
        <is>
          <t>健康と持続可能性のための総合的な都市計画政策</t>
        </is>
      </c>
      <c r="U102" s="3" t="inlineStr">
        <is>
          <t>건강과 지속가능성을 위한 통합 도시 계획 정책</t>
        </is>
      </c>
      <c r="V102" s="3" t="inlineStr">
        <is>
          <t>Ko nga kaupapa here whakamahere taone nui mo te hauora me te oranga tonutanga</t>
        </is>
      </c>
      <c r="W102" s="3" t="inlineStr">
        <is>
          <t>स्वास्थ्य र दिगोपनको लागि एकीकृत शहर योजना नीतिहरू</t>
        </is>
      </c>
      <c r="X102" s="44" t="inlineStr">
        <is>
          <t>سیاست‌های یکپارچه برنامه‌ریزی شهری برای سلامت و پایداری</t>
        </is>
      </c>
      <c r="Y102" s="3" t="inlineStr">
        <is>
          <t>Políticas integradas de planejamento urbano para saúde e sustentabilidade</t>
        </is>
      </c>
      <c r="Z102" s="3" t="inlineStr">
        <is>
          <t>Políticas integradas de planeamento urbano para saúde e sustentabilidade</t>
        </is>
      </c>
      <c r="AA102" s="3" t="inlineStr">
        <is>
          <t>Políticas integradas de planificación urbana para la salud y la sostenibilidad</t>
        </is>
      </c>
      <c r="AB102" s="3" t="inlineStr">
        <is>
          <t>Políticas integradas de planificación urbana para la salud y la sostenibilidad</t>
        </is>
      </c>
      <c r="AC102" s="3" t="inlineStr">
        <is>
          <t>ஆரோக்கியம் மற்றும் நிலைத்தன்மைக்கான ஒருங்கிணைந்த நகர திட்டமிடல் கொள்கைகள்</t>
        </is>
      </c>
      <c r="AD102" s="3" t="inlineStr">
        <is>
          <t>นโยบาย​การ​วาง​ผัง​เมือง​แบบ​บูรณาการ​เพื่อ​สุขภาพ​และ​ความ​ยั่งยืน</t>
        </is>
      </c>
      <c r="AE102" s="3" t="inlineStr">
        <is>
          <t>Sağlık ve sürdürülebilirlik için entegre şehir planlama politikaları</t>
        </is>
      </c>
      <c r="AF102" s="3" t="inlineStr">
        <is>
          <t>Інтегрована політика міського планування для здоров’я та сталого розвитку</t>
        </is>
      </c>
      <c r="AG102" s="3" t="inlineStr">
        <is>
          <t>Chính sách tích hợp về quy hoạch thành phố vì sức khỏe và tính bền vững</t>
        </is>
      </c>
    </row>
    <row r="103" ht="30" customHeight="1">
      <c r="A103" s="15" t="inlineStr">
        <is>
          <t>template</t>
        </is>
      </c>
      <c r="B103" s="15" t="inlineStr">
        <is>
          <t>Integrated city planning text</t>
        </is>
      </c>
      <c r="C103" s="9" t="inlineStr">
        <is>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is>
      </c>
      <c r="D103" s="18" t="inlineStr">
        <is>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is>
      </c>
      <c r="E103" s="18" t="inlineStr">
        <is>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is>
      </c>
      <c r="F103" s="9" t="inlineStr">
        <is>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is>
      </c>
      <c r="G103" s="8" t="inlineStr">
        <is>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is>
      </c>
      <c r="H103" s="16" t="inlineStr">
        <is>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is>
      </c>
      <c r="I103" s="8" t="inlineStr">
        <is>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is>
      </c>
      <c r="J103" s="16" t="inlineStr">
        <is>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is>
      </c>
      <c r="K103" s="16" t="inlineStr">
        <is>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is>
      </c>
      <c r="L103" s="8" t="inlineStr">
        <is>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is>
      </c>
      <c r="M103" s="8" t="inlineStr">
        <is>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is>
      </c>
      <c r="N103" s="8" t="inlineStr">
        <is>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is>
      </c>
      <c r="O103" s="8" t="inlineStr">
        <is>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is>
      </c>
      <c r="P103" s="8" t="inlineStr">
        <is>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is>
      </c>
      <c r="Q103" s="8" t="inlineStr">
        <is>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is>
      </c>
      <c r="R103" s="8" t="inlineStr">
        <is>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is>
      </c>
      <c r="S103" s="8" t="inlineStr">
        <is>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is>
      </c>
      <c r="T103" s="3" t="inlineStr">
        <is>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is>
      </c>
      <c r="U103" s="3" t="inlineStr">
        <is>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is>
      </c>
      <c r="V103" s="3" t="inlineStr">
        <is>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is>
      </c>
      <c r="W103" s="3" t="inlineStr">
        <is>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is>
      </c>
      <c r="X103" s="44" t="inlineStr">
        <is>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is>
      </c>
      <c r="Y103" s="3" t="inlineStr">
        <is>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is>
      </c>
      <c r="Z103" s="3" t="inlineStr">
        <is>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is>
      </c>
      <c r="AA103" s="3" t="inlineStr">
        <is>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is>
      </c>
      <c r="AB103" s="3" t="inlineStr">
        <is>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is>
      </c>
      <c r="AC103" s="3" t="inlineStr">
        <is>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is>
      </c>
      <c r="AD103" s="3" t="inlineStr">
        <is>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is>
      </c>
      <c r="AE103" s="3" t="inlineStr">
        <is>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is>
      </c>
      <c r="AF103" s="3" t="inlineStr">
        <is>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is>
      </c>
      <c r="AG103" s="3" t="inlineStr">
        <is>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is>
      </c>
    </row>
    <row r="104" ht="45" customHeight="1">
      <c r="A104" s="15" t="inlineStr">
        <is>
          <t>measures</t>
        </is>
      </c>
      <c r="B104" s="15" t="inlineStr">
        <is>
          <t>Transport policy with health-focused actions (i.e., explicit mention of the word 'health', 'wellbeing' or similar, as a goal or rationale for an action)</t>
        </is>
      </c>
      <c r="C104" s="9" t="inlineStr">
        <is>
          <t>Transport policy with health-focused actions</t>
        </is>
      </c>
      <c r="D104" s="8" t="inlineStr">
        <is>
          <t>سياسة النقل مع الإجراءات التي تركز على الصحة</t>
        </is>
      </c>
      <c r="E104" s="8" t="inlineStr">
        <is>
          <t>Política de transport amb accions enfocades a la salut</t>
        </is>
      </c>
      <c r="F104" s="9" t="inlineStr">
        <is>
          <t>具有以健康导向行动为重点的交通政策。</t>
        </is>
      </c>
      <c r="G104" s="8" t="inlineStr">
        <is>
          <t>具有以健康導向行動為重點的交通政策</t>
        </is>
      </c>
      <c r="H104" s="16" t="inlineStr">
        <is>
          <t>Prometna politika s aktivnostima usmjerenim na zdravlje</t>
        </is>
      </c>
      <c r="I104" s="8" t="inlineStr">
        <is>
          <t>Dopravní politika s opatřeními zaměřenými na zdraví</t>
        </is>
      </c>
      <c r="J104" s="16" t="inlineStr">
        <is>
          <t>Transportpolitik med sundhedsfokuserede handlinger</t>
        </is>
      </c>
      <c r="K104" s="16" t="inlineStr">
        <is>
          <t>Transportbeleid met op gezondheid gerichte acties</t>
        </is>
      </c>
      <c r="L104" s="8" t="inlineStr">
        <is>
          <t>Liikenteen politiikkadokumentti tai muut yksittäiset poliittiset ohjauskeinot, jotka keskittyvät terveydellisiin toimenpiteisiin</t>
        </is>
      </c>
      <c r="M104" s="8" t="inlineStr">
        <is>
          <t>Une politique des transports avec des actions axées sur la santé</t>
        </is>
      </c>
      <c r="N104" s="8" t="inlineStr">
        <is>
          <t>Verkehrspolitik mit gesundheitsorientierten Maßnahmen</t>
        </is>
      </c>
      <c r="O104" s="8" t="inlineStr">
        <is>
          <t>Πολιτική μεταφορών με δράσεις με επίκεντρο την υγεία</t>
        </is>
      </c>
      <c r="P104" s="8" t="inlineStr">
        <is>
          <t>Manufar sufuri tare da ayyuka mai da hankali kan lafiya</t>
        </is>
      </c>
      <c r="Q104" s="8" t="inlineStr">
        <is>
          <t>स्वास्थ्य-केंद्रित कार्यों के साथ परिवहन नीति</t>
        </is>
      </c>
      <c r="R104" s="8" t="inlineStr">
        <is>
          <t>Kebijakan transportasi dengan tindakan yang berfokus pada kesehatan</t>
        </is>
      </c>
      <c r="S104" s="8" t="inlineStr">
        <is>
          <t>Politica dei trasporti con azioni incentrate sulla salute</t>
        </is>
      </c>
      <c r="T104" s="3" t="inlineStr">
        <is>
          <t>健康を重視した交通政策</t>
        </is>
      </c>
      <c r="U104" s="3" t="inlineStr">
        <is>
          <t>건강에 초점을 맞춘 교통 정책</t>
        </is>
      </c>
      <c r="V104" s="3" t="inlineStr">
        <is>
          <t>Kaupapa here kawe me nga mahi e arotahi ana ki te hauora</t>
        </is>
      </c>
      <c r="W104" s="3" t="inlineStr">
        <is>
          <t>स्वास्थ्य केन्द्रित कार्यहरु संग यातायात नीति</t>
        </is>
      </c>
      <c r="X104" s="44" t="inlineStr">
        <is>
          <t>سیاست حمل‌ونقل با اقدامات سلامت محور</t>
        </is>
      </c>
      <c r="Y104" s="3" t="inlineStr">
        <is>
          <t>Política de transportes com ações focadas na saúde</t>
        </is>
      </c>
      <c r="Z104" s="3" t="inlineStr">
        <is>
          <t>Política de transportes com ações focadas na saúde</t>
        </is>
      </c>
      <c r="AA104" s="3" t="inlineStr">
        <is>
          <t>Políticas de transporte con acciones enfocadas en la salud</t>
        </is>
      </c>
      <c r="AB104" s="3" t="inlineStr">
        <is>
          <t>Política de transporte con acciones centradas en la salud</t>
        </is>
      </c>
      <c r="AC104" s="3" t="inlineStr">
        <is>
          <t>சுகாதாரத்தை மையமாகக் கொண்ட நடவடிக்கைகள் கொண்ட போக்குவரத்துக் கொள்கை</t>
        </is>
      </c>
      <c r="AD104" s="3" t="inlineStr">
        <is>
          <t>นโยบาย​ด้าน​การ​ขน​ส่ง​ที่​เน้น​การ​ดำเนิน​การ​เพื่อ​ส่ง​เสริม​สุขภาพ</t>
        </is>
      </c>
      <c r="AE104" s="3" t="inlineStr">
        <is>
          <t>Ulaşım politikasında sağlık odaklı eylemler</t>
        </is>
      </c>
      <c r="AF104" s="3" t="inlineStr">
        <is>
          <t>Транспортна політика з діями, орієнтованими на здоров'я</t>
        </is>
      </c>
      <c r="AG104" s="3" t="inlineStr">
        <is>
          <t>Chính sách giao thông với các điều khoản tập trung vào sức khỏe</t>
        </is>
      </c>
    </row>
    <row r="105" ht="240" customHeight="1">
      <c r="A105" s="15" t="inlineStr">
        <is>
          <t>measures</t>
        </is>
      </c>
      <c r="B105" s="15" t="inlineStr">
        <is>
          <t>Urban policy with health-focused actions (i.e., explicit mention of the word 'health', 'wellbeing' or similar, as a goal or rationale for an action)</t>
        </is>
      </c>
      <c r="C105" s="9" t="inlineStr">
        <is>
          <t>Urban policy with health-focused actions</t>
        </is>
      </c>
      <c r="D105" s="8" t="inlineStr">
        <is>
          <t>السياسة الحضرية مع الإجراءات التي تركز على الصحة</t>
        </is>
      </c>
      <c r="E105" s="8" t="inlineStr">
        <is>
          <t>Política urbanística amb actuacions enfocades a la salut</t>
        </is>
      </c>
      <c r="F105" s="9" t="inlineStr">
        <is>
          <t>具有以健康导向行动为重点的城市政策</t>
        </is>
      </c>
      <c r="G105" s="8" t="inlineStr">
        <is>
          <t>具有以健康導向行動為重點的城市政策</t>
        </is>
      </c>
      <c r="H105" s="16" t="inlineStr">
        <is>
          <t>Urbana politika s djelovanjem usmjerenim na zdravlje</t>
        </is>
      </c>
      <c r="I105" s="8" t="inlineStr">
        <is>
          <t>Městská politika s akcemi zaměřenými na zdraví</t>
        </is>
      </c>
      <c r="J105" s="16" t="inlineStr">
        <is>
          <t>Bypolitik med sundhedsfokuserede handlinger</t>
        </is>
      </c>
      <c r="K105" s="16" t="inlineStr">
        <is>
          <t>Stedelijk beleid met op gezondheid gerichte acties</t>
        </is>
      </c>
      <c r="L105" s="8" t="inlineStr">
        <is>
          <t>Kaupunkisuunnittelun politiikkadokumentti tai muut yksittäiset poliittiset ohjauskeinot, jotka keskittyvät terveydellisiin toimenpiteisiin</t>
        </is>
      </c>
      <c r="M105" s="8" t="inlineStr">
        <is>
          <t>Une politique urbaine avec des actions axées sur la santé</t>
        </is>
      </c>
      <c r="N105" s="8" t="inlineStr">
        <is>
          <t>Stadtpolitik mit gesundheitsorientierten Maßnahmen</t>
        </is>
      </c>
      <c r="O105" s="8" t="inlineStr">
        <is>
          <t>Αστική πολιτική με δράσεις με επίκεντρο την υγεία</t>
        </is>
      </c>
      <c r="P105" s="8" t="inlineStr">
        <is>
          <t>Manufar birni tare da ayyuka mai da hankali kan lafiya</t>
        </is>
      </c>
      <c r="Q105" s="8" t="inlineStr">
        <is>
          <t>स्वास्थ्य-केंद्रित कार्यों वाली शहरी नीति</t>
        </is>
      </c>
      <c r="R105" s="8" t="inlineStr">
        <is>
          <t>Kebijakan perkotaan dengan tindakan yang berfokus pada kesehatan</t>
        </is>
      </c>
      <c r="S105" s="8" t="inlineStr">
        <is>
          <t>Politica urbanistica con azioni incentrate sulla salute</t>
        </is>
      </c>
      <c r="T105" s="3" t="inlineStr">
        <is>
          <t>健康を重視した都市政策</t>
        </is>
      </c>
      <c r="U105" s="3" t="inlineStr">
        <is>
          <t>건강에 초점을 맞춘 도시 정책</t>
        </is>
      </c>
      <c r="V105" s="3" t="inlineStr">
        <is>
          <t>Kaupapa here taone me nga mahi e arotahi ana ki te hauora</t>
        </is>
      </c>
      <c r="W105" s="3" t="inlineStr">
        <is>
          <t>स्वास्थ्य केन्द्रित कार्यहरूको साथ शहरी नीति</t>
        </is>
      </c>
      <c r="X105" s="44" t="inlineStr">
        <is>
          <t>سیاست شهری با اقدامات سلامت محور</t>
        </is>
      </c>
      <c r="Y105" s="3" t="inlineStr">
        <is>
          <t>Política urbana com ações voltadas para a saúde</t>
        </is>
      </c>
      <c r="Z105" s="3" t="inlineStr">
        <is>
          <t>Política urbana com ações voltadas para a saúde</t>
        </is>
      </c>
      <c r="AA105" s="3" t="inlineStr">
        <is>
          <t>Políticas urbanas con acciones enfocadas en la salud</t>
        </is>
      </c>
      <c r="AB105" s="3" t="inlineStr">
        <is>
          <t>Política urbana con acciones centradas en la salud</t>
        </is>
      </c>
      <c r="AC105" s="3" t="inlineStr">
        <is>
          <t>ஆரோக்கியத்தை மையமாகக் கொண்ட நடவடிக்கைகள் கொண்ட நகர்ப்புறக் கொள்கை</t>
        </is>
      </c>
      <c r="AD105" s="3" t="inlineStr">
        <is>
          <t>นโยบาย​ของ​เมือง​ที่​เน้น​การ​ดำเนิน​การ​เพื่อ​ส่ง​เสริม​สุขภาพ</t>
        </is>
      </c>
      <c r="AE105" s="3" t="inlineStr">
        <is>
          <t>Kent politikasında sağlık odaklı eylemler</t>
        </is>
      </c>
      <c r="AF105" s="3" t="inlineStr">
        <is>
          <t>Міська політика з діями, орієнтованими на здоров’я</t>
        </is>
      </c>
      <c r="AG105" s="3" t="inlineStr">
        <is>
          <t>Chính sách đô thị với các điều khoản tập trung vào sức khỏe</t>
        </is>
      </c>
    </row>
    <row r="106" ht="60" customHeight="1">
      <c r="A106" s="15" t="inlineStr">
        <is>
          <t>measures</t>
        </is>
      </c>
      <c r="B106" s="15" t="inlineStr">
        <is>
          <t>Health Impact Assessment (i.e., evaluating potential impacts of policies/plans on population health) requirements in urban/transport policy or legislation</t>
        </is>
      </c>
      <c r="C106" s="9" t="inlineStr">
        <is>
          <t>Health Impact Assessment requirements in urban/transport policy</t>
        </is>
      </c>
      <c r="D106" s="8" t="inlineStr">
        <is>
          <t>متطلبات تقييم الأثر الصحي في سياسة المناطق الحضرية/النقل</t>
        </is>
      </c>
      <c r="E106" s="8" t="inlineStr">
        <is>
          <t>Requisits de l'Avaluació d'Impacte en la Salut en la política urbana/de transport</t>
        </is>
      </c>
      <c r="F106" s="9" t="inlineStr">
        <is>
          <t>城市/交通政策中具有健康影响评估的要求</t>
        </is>
      </c>
      <c r="G106" s="8" t="inlineStr">
        <is>
          <t>城市/交通政策中具有健康影響的評估要求</t>
        </is>
      </c>
      <c r="H106" s="16" t="inlineStr">
        <is>
          <t>Zahtjevi procjene utjecaja na zdravlje u urbanoj/prometnoj politici</t>
        </is>
      </c>
      <c r="I106" s="8" t="inlineStr">
        <is>
          <t>Požadavky na hodnocení vlivu na zdraví v městské/dopravní politice</t>
        </is>
      </c>
      <c r="J106" s="16" t="inlineStr">
        <is>
          <t>Krav til sundhedskonsekvensvurdering i by-/transportpolitik</t>
        </is>
      </c>
      <c r="K106" s="16" t="inlineStr">
        <is>
          <t>Vereisten voor gezondheidseffectbeoordelingen in het stads- en transportbeleid</t>
        </is>
      </c>
      <c r="L106" s="8" t="inlineStr">
        <is>
          <t>Terveysvaikutusten arvioinnin vaatimukset kaupunkisuunnittelun ja/tai liikenteen politiikkadokumenteissa tai muissa yksittäisissä poliittisissa ohjauskeinoissa</t>
        </is>
      </c>
      <c r="M106" s="8" t="inlineStr">
        <is>
          <t>Exigences en matière d’évaluation de l’impact sur la santé dans la politique urbaine/des transports</t>
        </is>
      </c>
      <c r="N106" s="8" t="inlineStr">
        <is>
          <t>Anforderungen an die Gesundheitsfolgenabschätzung in der Stadt-/Verkehrspolitik</t>
        </is>
      </c>
      <c r="O106" s="8" t="inlineStr">
        <is>
          <t>Απαιτήσεις εκτίμησης επιπτώσεων στην υγεία στην πολιτική αστικών/μεταφορών</t>
        </is>
      </c>
      <c r="P106" s="8" t="inlineStr">
        <is>
          <t>Bukatun kimanta Tasirin Lafiya a cikin manufofin sufuri na birane</t>
        </is>
      </c>
      <c r="Q106" s="8" t="inlineStr">
        <is>
          <t>शहरी/परिवहन नीति में स्वास्थ्य प्रभाव आकलन आवश्यकताएँ</t>
        </is>
      </c>
      <c r="R106" s="8" t="inlineStr">
        <is>
          <t>Persyaratan Penilaian Dampak Kesehatan dalam kebijakan perkotaan/transportasi</t>
        </is>
      </c>
      <c r="S106" s="8" t="inlineStr">
        <is>
          <t>Requisiti di valutazione dell'impatto sanitario della politica urbanistica/dei trasporti</t>
        </is>
      </c>
      <c r="T106" s="3" t="inlineStr">
        <is>
          <t>都市・交通政策における健康影響評価の要求</t>
        </is>
      </c>
      <c r="U106" s="3" t="inlineStr">
        <is>
          <t>도시/교통 정책의 건강 영향 평가 요구사항</t>
        </is>
      </c>
      <c r="V106" s="3" t="inlineStr">
        <is>
          <t>Nga whakaritenga Aromatawai Paanga Hauora i roto i nga kaupapa here mo te taone/whakahaere</t>
        </is>
      </c>
      <c r="W106" s="3" t="inlineStr">
        <is>
          <t>शहरी / यातायात नीतिमा स्वास्थ्य प्रभाव मूल्याङ्कन आवश्यकताहरू</t>
        </is>
      </c>
      <c r="X106" s="44" t="inlineStr">
        <is>
          <t>الزامات ارزیابی اثرات سلامت در سیاست‌های شهری/حمل‌ونقلی</t>
        </is>
      </c>
      <c r="Y106" s="3" t="inlineStr">
        <is>
          <t>Requisitos de avaliação de impacto sobre a saúde na política urbana/de transportes</t>
        </is>
      </c>
      <c r="Z106" s="3" t="inlineStr">
        <is>
          <t>Requisitos de avaliação de impacto na saúde na política urbana/de transportes</t>
        </is>
      </c>
      <c r="AA106" s="3" t="inlineStr">
        <is>
          <t>Requisitos de evaluación del impacto sobre la salud en la política urbana y de transportes</t>
        </is>
      </c>
      <c r="AB106" s="3" t="inlineStr">
        <is>
          <t>Requisitos de la evaluación del impacto en la salud en la política urbana/de transporte</t>
        </is>
      </c>
      <c r="AC106" s="3" t="inlineStr">
        <is>
          <t>நகர்ப்புற/போக்குவரத்து கொள்கையில் சுகாதார பாதிப்பு மதிப்பீட்டுத் தேவைகள்</t>
        </is>
      </c>
      <c r="AD106" s="3" t="inlineStr">
        <is>
          <t>ข้อ​กำหนดการ​ประเมิน​ผล​กระทบ​ด้าน​สุขภาพ​ใน​นโยบาย​เมือง/การ​ขน​ส่ง</t>
        </is>
      </c>
      <c r="AE106" s="3" t="inlineStr">
        <is>
          <t>Kent/ulaşım politikasında Sağlık Etki Değerlendirmesi gerekliliği</t>
        </is>
      </c>
      <c r="AF106" s="3" t="inlineStr">
        <is>
          <t>Вимоги до оцінки впливу на здоров'я в міській/транспортній політиці</t>
        </is>
      </c>
      <c r="AG106" s="3" t="inlineStr">
        <is>
          <t>Yêu cầu đánh giá tác động sức khỏe trong chính sách đô thị/giao thông</t>
        </is>
      </c>
    </row>
    <row r="107" ht="60" customHeight="1">
      <c r="A107" s="15" t="inlineStr">
        <is>
          <t>measures</t>
        </is>
      </c>
      <c r="B107" s="15" t="inlineStr">
        <is>
          <t>Urban and/or transport policy explicitly aims for integrated city planning</t>
        </is>
      </c>
      <c r="C107" s="9" t="inlineStr">
        <is>
          <t>Urban/transport policy explicitly aims for integrated city planning</t>
        </is>
      </c>
      <c r="D107" s="8" t="inlineStr">
        <is>
          <t>تهدف سياسة المناطق الحضرية/سياسة النقل بشكل واضح إلى التخطيط المتكامل للمدينة</t>
        </is>
      </c>
      <c r="E107" s="8" t="inlineStr">
        <is>
          <t>La política urbana/de transport té com a objectiu explícit una planificació urbana integrada</t>
        </is>
      </c>
      <c r="F107" s="9" t="inlineStr">
        <is>
          <t>城市/交通政策明确以综合城市规划为目标</t>
        </is>
      </c>
      <c r="G107" s="8" t="inlineStr">
        <is>
          <t>城市/交通政策明確以綜合城市規劃為目標</t>
        </is>
      </c>
      <c r="H107" s="16" t="inlineStr">
        <is>
          <t>Urbana/prometna politika izričito cilja na integrirano planiranje grada</t>
        </is>
      </c>
      <c r="I107" s="8" t="inlineStr">
        <is>
          <t>Městská/dopravní politika se výslovně zaměřuje na integrované městské plánování</t>
        </is>
      </c>
      <c r="J107" s="16" t="inlineStr">
        <is>
          <t>By-/transportpolitikken sigter eksplicit på integreret byplanlægning</t>
        </is>
      </c>
      <c r="K107" s="16" t="inlineStr">
        <is>
          <t>Het stads- en transportbeleid streeft expliciet naar geïntegreerde stadsplanning</t>
        </is>
      </c>
      <c r="L107" s="8" t="inlineStr">
        <is>
          <t>Kaupunkisuunnittelun ja/tai liikenteen politiikkadokumentti tai muut yksittäiset poliittiset ohjauskeinot, jotka pyrkivät integroivaan kaupunkisuunnitteluun</t>
        </is>
      </c>
      <c r="M107" s="8" t="inlineStr">
        <is>
          <t>La politique urbaine/des transports vise explicitement une planification urbaine intégrée</t>
        </is>
      </c>
      <c r="N107" s="8" t="inlineStr">
        <is>
          <t>Die Stadt-/Verkehrspolitik zielt explizit auf eine integrierte Stadtplanung ab</t>
        </is>
      </c>
      <c r="O107" s="8" t="inlineStr">
        <is>
          <t>Η πολεοδομική/μεταφορική πολιτική στοχεύει ρητά στον ολοκληρωμένο αστικό σχεδιασμό</t>
        </is>
      </c>
      <c r="P107" s="8" t="inlineStr">
        <is>
          <t>Manufofin birni/ jigilar kayayyaki a sarari na nufin haɗaɗɗen tsara birane</t>
        </is>
      </c>
      <c r="Q107" s="8" t="inlineStr">
        <is>
          <t>शहरी/परिवहन नीति का लक्ष्य स्पष्ट रूप से एकीकृत शहर नियोजन है</t>
        </is>
      </c>
      <c r="R107" s="8" t="inlineStr">
        <is>
          <t>Kebijakan perkotaan/transportasi secara eksplisit bertujuan untuk perencanaan kota yang terpadu</t>
        </is>
      </c>
      <c r="S107" s="8" t="inlineStr">
        <is>
          <t>La politica urbanistica e dei trasporti mirano esplicitamente a creare un processo di pianificazione urbanistica integrata</t>
        </is>
      </c>
      <c r="T107" s="3" t="inlineStr">
        <is>
          <t>総合的な都市計画を明確に志向する都市・交通政策</t>
        </is>
      </c>
      <c r="U107" s="3" t="inlineStr">
        <is>
          <t>도시/교통 정책은 명시적으로 통합적인 도시 계획을  목표로 합니다.</t>
        </is>
      </c>
      <c r="V107" s="3" t="inlineStr">
        <is>
          <t>Ko te kaupapa here mo te taone/whakaahua e tino whai ana ki te whakamahere taone nui</t>
        </is>
      </c>
      <c r="W107" s="3" t="inlineStr">
        <is>
          <t>सहरी/ यातायात नीतिले स्पष्ट रूपमा एकीकृत सहर योजनाको उद्देश्य राख्छ</t>
        </is>
      </c>
      <c r="X107" s="44" t="inlineStr">
        <is>
          <t>سیاست شهری/حمل‌ونقل که به‌طور صریح به برنامه‌ریزی یکپارچه شهری می‌پردازد</t>
        </is>
      </c>
      <c r="Y107" s="3" t="inlineStr">
        <is>
          <t>A política urbana/de transportes visa explicitamente o planejamento urbano integrado</t>
        </is>
      </c>
      <c r="Z107" s="3" t="inlineStr">
        <is>
          <t>A política urbana/de transportes visa explicitamente o planeamento urbano integrado</t>
        </is>
      </c>
      <c r="AA107" s="3" t="inlineStr">
        <is>
          <t>Las políticas urbanas y de transporte apunta explícitamente a una planificación urbana integrada</t>
        </is>
      </c>
      <c r="AB107" s="3" t="inlineStr">
        <is>
          <t>La política urbana y de transporte apuesta explícitamente por una planificación urbana integrada</t>
        </is>
      </c>
      <c r="AC107" s="3" t="inlineStr">
        <is>
          <t>நகர்ப்புற/போக்குவரத்து கொள்கையானது ஒருங்கிணைந்த நகர திட்டமிடலை வெளிப்படையாக நோக்கமாகக் கொண்டுள்ளது</t>
        </is>
      </c>
      <c r="AD107" s="3" t="inlineStr">
        <is>
          <t>นโยบาย​เมือง/การ​คมนาคม​มุ่ง​เป้า​ไป​ที่​การ​วาง​ผัง​เมือง​แบบ​บูรณาการ​อย่าง​ชัดเจน</t>
        </is>
      </c>
      <c r="AE107" s="3" t="inlineStr">
        <is>
          <t>Entegre şehir planlamasının kent/ulaşım politikasında açıkça hedeflenmesi</t>
        </is>
      </c>
      <c r="AF107" s="3" t="inlineStr">
        <is>
          <t>Міська/транспортна політика чітко спрямована на комплексне планування міста</t>
        </is>
      </c>
      <c r="AG107" s="3" t="inlineStr">
        <is>
          <t>Chính sách đô thị/giao thông rõ ràng hưóng tới  việc quy hoạch thành phố tích hợp</t>
        </is>
      </c>
    </row>
    <row r="108" ht="75" customHeight="1">
      <c r="A108" s="15" t="inlineStr">
        <is>
          <t>measures</t>
        </is>
      </c>
      <c r="B108" s="15" t="inlineStr">
        <is>
          <t>Publicly available information on government expenditure for different transport modes</t>
        </is>
      </c>
      <c r="C108" s="9" t="inlineStr">
        <is>
          <t>Publicly available information on government expenditure for different transport modes</t>
        </is>
      </c>
      <c r="D108" s="8" t="inlineStr">
        <is>
          <t>معلومات متاحة للعامة حول الإنفاق الحكومي على وسائل النقل المختلفة</t>
        </is>
      </c>
      <c r="E108" s="8" t="inlineStr">
        <is>
          <t>Informació disponible públicament sobre la despesa pública per a diferents modes de transport</t>
        </is>
      </c>
      <c r="F108" s="9" t="inlineStr">
        <is>
          <t>有关不同交通方式的政府支出的公开信息</t>
        </is>
      </c>
      <c r="G108" s="8" t="inlineStr">
        <is>
          <t>有關不同交通方式的政府支出的公開信息</t>
        </is>
      </c>
      <c r="H108" s="16" t="inlineStr">
        <is>
          <t>Javno dostupne informacije o državnim izdacima za različite načine prijevoza</t>
        </is>
      </c>
      <c r="I108" s="8" t="inlineStr">
        <is>
          <t>Veřejně dostupné informace o vládních výdajích na různé druhy dopravy</t>
        </is>
      </c>
      <c r="J108" s="16" t="inlineStr">
        <is>
          <t>Offentligt tilgængelige oplysninger om offentlige udgifter til forskellige transportformer</t>
        </is>
      </c>
      <c r="K108" s="16" t="inlineStr">
        <is>
          <t>Openbaar beschikbare informatie over overheidsuitgaven voor verschillende vervoerswijzen</t>
        </is>
      </c>
      <c r="L108" s="8" t="inlineStr">
        <is>
          <t>Julkinen tieto hallinnollisista menoista eri liikennemuotoja kohden</t>
        </is>
      </c>
      <c r="M108" s="8" t="inlineStr">
        <is>
          <t>Informations accessibles au public sur les dépenses publiques pour les différents modes de transport</t>
        </is>
      </c>
      <c r="N108" s="8" t="inlineStr">
        <is>
          <t>Öffentlich verfügbare Informationen zu den Staatsausgaben für verschiedene Verkehrsträger</t>
        </is>
      </c>
      <c r="O108" s="8" t="inlineStr">
        <is>
          <t>Δημόσια διαθέσιμες πληροφορίες σχετικά με τις κρατικές δαπάνες για διαφορετικούς τρόπους μεταφοράς</t>
        </is>
      </c>
      <c r="P108" s="8" t="inlineStr">
        <is>
          <t>Akwai bayanan jama'a game da kashe kuɗin gwamnati don hanyoyin sufuri daban-daban</t>
        </is>
      </c>
      <c r="Q108" s="8" t="inlineStr">
        <is>
          <t>विभिन्न परिवहन साधनों के लिए सरकारी व्यय की जानकारी सार्वजनिक रूप से उपलब्ध है</t>
        </is>
      </c>
      <c r="R108" s="8" t="inlineStr">
        <is>
          <t>Informasi yang tersedia untuk umum mengenai pengeluaran pemerintah untuk berbagai moda transportasi</t>
        </is>
      </c>
      <c r="S108" s="8" t="inlineStr">
        <is>
          <t>Informazioni disponibili sulla spesa pubblica per le diverse modalità di trasporto</t>
        </is>
      </c>
      <c r="T108" s="3" t="inlineStr">
        <is>
          <t>各交通手段に対する政府支出に関する公開情報</t>
        </is>
      </c>
      <c r="U108" s="3" t="inlineStr">
        <is>
          <t>다양한 교통수단에 대한 정부 지출에 관한 공개 정보</t>
        </is>
      </c>
      <c r="V108" s="3" t="inlineStr">
        <is>
          <t>Ko nga korero mo te iwi whanui mo nga whakapaunga a te kawanatanga mo nga momo momo waka</t>
        </is>
      </c>
      <c r="W108" s="3" t="inlineStr">
        <is>
          <t>विभिन्न यातायात मोडहरूको लागि सरकारी खर्चको बारेमा सार्वजनिक रूपमा उपलब्ध जानकारी</t>
        </is>
      </c>
      <c r="X108" s="44" t="inlineStr">
        <is>
          <t>اطلاعات در دسترس عموم در مورد هزینه های دولت برای روش های مختلف حمل‌ونقل</t>
        </is>
      </c>
      <c r="Y108" s="3" t="inlineStr">
        <is>
          <t>Informações publicamente disponíveis sobre despesas governamentais para diferentes modos de transporte</t>
        </is>
      </c>
      <c r="Z108" s="3" t="inlineStr">
        <is>
          <t>Informações publicamente disponíveis sobre despesas governamentais para diferentes modos de transporte</t>
        </is>
      </c>
      <c r="AA108" s="3" t="inlineStr">
        <is>
          <t>Información disponible públicamente sobre el gasto gubernamental para diferentes modos de transporte</t>
        </is>
      </c>
      <c r="AB108" s="3" t="inlineStr">
        <is>
          <t>Información disponible públicamente sobre el gasto gubernamental para diferentes modos de transporte</t>
        </is>
      </c>
      <c r="AC108" s="3" t="inlineStr">
        <is>
          <t>வெவ்வேறு போக்குவரத்து முறைகளுக்கான அரசாங்க செலவினங்கள் பற்றிய பொதுவில் கிடைக்கும் தகவல்கள்</t>
        </is>
      </c>
      <c r="AD108" s="3" t="inlineStr">
        <is>
          <t>ข้อมูล​ที่​เปิด​เผย​ต่อ​สาธารณะ​เกี่ยวกับ​ค่า​ใช้​จ่าย​ภาค​รัฐ​สำหรับ​รูป​แบบ​การ​ขน​ส่ง​ต่างๆ</t>
        </is>
      </c>
      <c r="AE108" s="3" t="inlineStr">
        <is>
          <t>Farklı ulaşım türlerine yönelik hükümet harcamalarına ilişkin kamuya açık bilgiler</t>
        </is>
      </c>
      <c r="AF108" s="3" t="inlineStr">
        <is>
          <t>Загальнодоступна інформація про державні витрати на різні види транспорту</t>
        </is>
      </c>
      <c r="AG108" s="3" t="inlineStr">
        <is>
          <t>Thông tin công khai về chi tiêu của chính phủ cho các phương thức vận tải khác nhau</t>
        </is>
      </c>
    </row>
    <row r="109" ht="60" customHeight="1">
      <c r="A109" s="15" t="inlineStr">
        <is>
          <t>policy</t>
        </is>
      </c>
      <c r="B109" s="15" t="inlineStr">
        <is>
          <t>Walkability and destination access policies</t>
        </is>
      </c>
      <c r="C109" s="9" t="inlineStr">
        <is>
          <t>Walkability and destination access policies</t>
        </is>
      </c>
      <c r="D109" s="18" t="inlineStr">
        <is>
          <t>سياسات إمكانية المشي والوصول إلى الوجهة</t>
        </is>
      </c>
      <c r="E109" s="18" t="inlineStr">
        <is>
          <t>Polítiques de caminabilitat i accés a la destinació</t>
        </is>
      </c>
      <c r="F109" s="9" t="inlineStr">
        <is>
          <t>步行适宜性和目的地可达性政策</t>
        </is>
      </c>
      <c r="G109" s="8" t="inlineStr">
        <is>
          <t>步行適宜性與目的地可達性政策</t>
        </is>
      </c>
      <c r="H109" s="16" t="inlineStr">
        <is>
          <t>Pravila prohodnosti i pristupa odredištu</t>
        </is>
      </c>
      <c r="I109" s="8" t="inlineStr">
        <is>
          <t>Zásady schůdnosti a přístupu k cíli</t>
        </is>
      </c>
      <c r="J109" s="16" t="inlineStr">
        <is>
          <t>Politikker for gangbarhed og destinationsadgang</t>
        </is>
      </c>
      <c r="K109" s="16" t="inlineStr">
        <is>
          <t>Beleid inzake beloopbaarheid en toegang tot bestemmingen</t>
        </is>
      </c>
      <c r="L109" s="8" t="inlineStr">
        <is>
          <t>Politiikkadokumentti tai muut yksittäiset poliittiset ohjauskeinot käveltävyydestä ja saavutettavuudesta</t>
        </is>
      </c>
      <c r="M109" s="8" t="inlineStr">
        <is>
          <t>Politiques de praticité piétonnière et d’accès aux destinations</t>
        </is>
      </c>
      <c r="N109" s="8" t="inlineStr">
        <is>
          <t>Richtlinien zur Begehbarkeit und zum Zielzugang</t>
        </is>
      </c>
      <c r="O109" s="8" t="inlineStr">
        <is>
          <t>Πολιτικές βατότητας και πρόσβασης προορισμού</t>
        </is>
      </c>
      <c r="P109" s="8" t="inlineStr">
        <is>
          <t>Hanyar tafiya da manufofin isa ga manufa</t>
        </is>
      </c>
      <c r="Q109" s="8" t="inlineStr">
        <is>
          <t>चलने योग्यता और गंतव्य पहुंच नीतियां</t>
        </is>
      </c>
      <c r="R109" s="8" t="inlineStr">
        <is>
          <t>Kebijakan walkability dan akses destinasi</t>
        </is>
      </c>
      <c r="S109" s="8" t="inlineStr">
        <is>
          <t>Politiche su camminabilità e accessibilità</t>
        </is>
      </c>
      <c r="T109" s="3" t="inlineStr">
        <is>
          <t>ウォーカビリティと目的地へのアクセスに関する政策</t>
        </is>
      </c>
      <c r="U109" s="3" t="inlineStr">
        <is>
          <t>보행친화성 및 목적지 접근성 정책</t>
        </is>
      </c>
      <c r="V109" s="3" t="inlineStr">
        <is>
          <t>Nga kaupapa here mo te haere me te whai waahi ki te waahi</t>
        </is>
      </c>
      <c r="W109" s="3" t="inlineStr">
        <is>
          <t>हिड्ने क्षमता र गन्तव्य पहुँच नीतिहरू</t>
        </is>
      </c>
      <c r="X109" s="44" t="inlineStr">
        <is>
          <t>سیاست‌های پیاده‌پذیری و دسترسی به مقصدها</t>
        </is>
      </c>
      <c r="Y109" s="3" t="inlineStr">
        <is>
          <t>Políticas de caminhabilidade e acesso a destinos</t>
        </is>
      </c>
      <c r="Z109" s="3" t="inlineStr">
        <is>
          <t>Políticas de caminhabilidade e acesso ao destino</t>
        </is>
      </c>
      <c r="AA109" s="3" t="inlineStr">
        <is>
          <t>Políticas de caminabilidad y acceso a destinos</t>
        </is>
      </c>
      <c r="AB109" s="3" t="inlineStr">
        <is>
          <t>Políticas de caminabilidad y de acceso a destinos</t>
        </is>
      </c>
      <c r="AC109" s="3" t="inlineStr">
        <is>
          <t>நடைபயிற்சி மற்றும் இலக்கு அணுகல் கொள்கைகள்</t>
        </is>
      </c>
      <c r="AD109" s="3" t="inlineStr">
        <is>
          <t>นโยบาย​ความ​สามารถ​ใน​การ​เดิน​และ​การ​เข้า​ถึง​จุดหมาย​ปลาย​ทาง</t>
        </is>
      </c>
      <c r="AE109" s="3" t="inlineStr">
        <is>
          <t>Yürünebilirlik ve destinasyon erişim politikaları</t>
        </is>
      </c>
      <c r="AF109" s="3" t="inlineStr">
        <is>
          <t>Правила проходження та доступу до пункту призначення</t>
        </is>
      </c>
      <c r="AG109" s="3" t="inlineStr">
        <is>
          <t>Chính sách về khả năng đi bộ và tiếp cận điểm đến</t>
        </is>
      </c>
    </row>
    <row r="110" ht="60" customHeight="1">
      <c r="A110" s="15" t="inlineStr">
        <is>
          <t>measures</t>
        </is>
      </c>
      <c r="B110" s="15" t="inlineStr">
        <is>
          <t>Walking participation</t>
        </is>
      </c>
      <c r="C110" s="9" t="inlineStr">
        <is>
          <t>Walking participation targets</t>
        </is>
      </c>
      <c r="D110" s="8" t="inlineStr">
        <is>
          <t>أهداف المشاركة في المشي</t>
        </is>
      </c>
      <c r="E110" s="8" t="inlineStr">
        <is>
          <t>Objectius de participació en el desplaçament a peu</t>
        </is>
      </c>
      <c r="F110" s="9" t="inlineStr">
        <is>
          <t>制定参与步行的目标</t>
        </is>
      </c>
      <c r="G110" s="8" t="inlineStr">
        <is>
          <t>訂立參與步行的目標</t>
        </is>
      </c>
      <c r="H110" s="16" t="inlineStr">
        <is>
          <t>Ciljevi sudjelovanja u hodanju</t>
        </is>
      </c>
      <c r="I110" s="8" t="inlineStr">
        <is>
          <t>Cíle v oblasti pěší dopravy</t>
        </is>
      </c>
      <c r="J110" s="16" t="inlineStr">
        <is>
          <t>Målsætning for udbredelse af gang</t>
        </is>
      </c>
      <c r="K110" s="16" t="inlineStr">
        <is>
          <t>Doelstellingen voor participatie - wandelen</t>
        </is>
      </c>
      <c r="L110" s="8" t="inlineStr">
        <is>
          <t>Kävelyn kasvun tavoitteet</t>
        </is>
      </c>
      <c r="M110" s="8" t="inlineStr">
        <is>
          <t>Objectifs de participation à la marche</t>
        </is>
      </c>
      <c r="N110" s="8" t="inlineStr">
        <is>
          <t>Partizipationsziele zum Gehen</t>
        </is>
      </c>
      <c r="O110" s="8" t="inlineStr">
        <is>
          <t>Στόχοι συμμετοχής στο περπάτημα</t>
        </is>
      </c>
      <c r="P110" s="8" t="inlineStr">
        <is>
          <t>Makasudin shiga tafiya</t>
        </is>
      </c>
      <c r="Q110" s="8" t="inlineStr">
        <is>
          <t>पैदल भागीदारी लक्ष्य</t>
        </is>
      </c>
      <c r="R110" s="8" t="inlineStr">
        <is>
          <t>Target partisipasi jalan kaki</t>
        </is>
      </c>
      <c r="S110" s="8" t="inlineStr">
        <is>
          <t>Obiettivi sull’adesione alla mobilità a piedi</t>
        </is>
      </c>
      <c r="T110" s="3" t="inlineStr">
        <is>
          <t>歩行者の目標値</t>
        </is>
      </c>
      <c r="U110" s="3" t="inlineStr">
        <is>
          <t>걷기 참여 목표</t>
        </is>
      </c>
      <c r="V110" s="3" t="inlineStr">
        <is>
          <t>Ngā taumata whai wāhitanga mo te hīkoi</t>
        </is>
      </c>
      <c r="W110" s="3" t="inlineStr">
        <is>
          <t>पैदल सहभागिता लक्ष्यहरू</t>
        </is>
      </c>
      <c r="X110" s="44" t="inlineStr">
        <is>
          <t>اهداف مشارکت پیاده‌روی</t>
        </is>
      </c>
      <c r="Y110" s="3" t="inlineStr">
        <is>
          <t>Metas para a prática de caminhada</t>
        </is>
      </c>
      <c r="Z110" s="3" t="inlineStr">
        <is>
          <t>Metas de participação em caminhada</t>
        </is>
      </c>
      <c r="AA110" s="3" t="inlineStr">
        <is>
          <t>Objetivos de participación en desplazamientos a pie</t>
        </is>
      </c>
      <c r="AB110" s="3" t="inlineStr">
        <is>
          <t>Objetivos de participación en el desplazamiento a pie</t>
        </is>
      </c>
      <c r="AC110" s="3" t="inlineStr">
        <is>
          <t>நடைபயிற்சி பங்கேற்பு இலக்குகள்</t>
        </is>
      </c>
      <c r="AD110" s="3" t="inlineStr">
        <is>
          <t>เป้าหมาย​การ​มี​ส่วน​ร่วม​ใน​การ​เดิน</t>
        </is>
      </c>
      <c r="AE110" s="3" t="inlineStr">
        <is>
          <t>Yürüme hedefleri</t>
        </is>
      </c>
      <c r="AF110" s="3" t="inlineStr">
        <is>
          <t>Цілі участі в ходьбі</t>
        </is>
      </c>
      <c r="AG110" s="3" t="inlineStr">
        <is>
          <t>Các mục tiêu về tham gia đi bộ</t>
        </is>
      </c>
    </row>
    <row r="111" ht="45" customHeight="1">
      <c r="A111" s="15" t="inlineStr">
        <is>
          <t>measures</t>
        </is>
      </c>
      <c r="B111" s="15" t="inlineStr">
        <is>
          <t>Pedestrian infrastructure</t>
        </is>
      </c>
      <c r="C111" s="9" t="inlineStr">
        <is>
          <t>Pedestrian infrastructure provision</t>
        </is>
      </c>
      <c r="D111" s="8" t="inlineStr">
        <is>
          <t>توفير البنية التحتية للمشاة</t>
        </is>
      </c>
      <c r="E111" s="8" t="inlineStr">
        <is>
          <t>Dotació d'infraestructures per a vianants</t>
        </is>
      </c>
      <c r="F111" s="9" t="inlineStr">
        <is>
          <t>行人基础设施建设</t>
        </is>
      </c>
      <c r="G111" s="8" t="inlineStr">
        <is>
          <t>行人基礎建設</t>
        </is>
      </c>
      <c r="H111" s="16" t="inlineStr">
        <is>
          <t>Osiguranje pješačke infrastrukture</t>
        </is>
      </c>
      <c r="I111" s="8" t="inlineStr">
        <is>
          <t>Zajištění infrastruktury pro chodce</t>
        </is>
      </c>
      <c r="J111" s="16" t="inlineStr">
        <is>
          <t>Bestemmelser for gangvenlig infrastruktur</t>
        </is>
      </c>
      <c r="K111" s="16" t="inlineStr">
        <is>
          <t>Aanleg infrastructuur voor voetgangers</t>
        </is>
      </c>
      <c r="L111" s="8" t="inlineStr">
        <is>
          <t>Jalankulkuinfrastruktuurin tarjonta</t>
        </is>
      </c>
      <c r="M111" s="8" t="inlineStr">
        <is>
          <t>Mise à disposition d'infrastructures piétonnes</t>
        </is>
      </c>
      <c r="N111" s="8" t="inlineStr">
        <is>
          <t xml:space="preserve">Bereitstellung von Infrastruktur für Fußgänger </t>
        </is>
      </c>
      <c r="O111" s="8" t="inlineStr">
        <is>
          <t>Παροχή υποδομής πεζών</t>
        </is>
      </c>
      <c r="P111" s="8" t="inlineStr">
        <is>
          <t>Samar da ababen more rayuwa na ƙafa</t>
        </is>
      </c>
      <c r="Q111" s="8" t="inlineStr">
        <is>
          <t>पैदल यात्री बुनियादी ढांचे का प्रावधान</t>
        </is>
      </c>
      <c r="R111" s="8" t="inlineStr">
        <is>
          <t>Penyediaan infrastruktur pejalan kaki</t>
        </is>
      </c>
      <c r="S111" s="8" t="inlineStr">
        <is>
          <t>Fornitura di infrastrutture pedonali</t>
        </is>
      </c>
      <c r="T111" s="3" t="inlineStr">
        <is>
          <t>歩行者インフラの整備</t>
        </is>
      </c>
      <c r="U111" s="3" t="inlineStr">
        <is>
          <t>보행자 기반 시설 제공</t>
        </is>
      </c>
      <c r="V111" s="3" t="inlineStr">
        <is>
          <t>Te wharatonga hanganga mo te tangata</t>
        </is>
      </c>
      <c r="W111" s="3" t="inlineStr">
        <is>
          <t>पैदल यात्री पूर्वाधार प्रावधान</t>
        </is>
      </c>
      <c r="X111" s="44" t="inlineStr">
        <is>
          <t>تامین زیرساخت‌های عابرپیاده</t>
        </is>
      </c>
      <c r="Y111" s="3" t="inlineStr">
        <is>
          <t>Provisão de infraestrutura para pedestres</t>
        </is>
      </c>
      <c r="Z111" s="3" t="inlineStr">
        <is>
          <t>Provisão de infraestruturas pedonais</t>
        </is>
      </c>
      <c r="AA111" s="3" t="inlineStr">
        <is>
          <t>Provisión de infraestructura peatonal</t>
        </is>
      </c>
      <c r="AB111" s="3" t="inlineStr">
        <is>
          <t>Dotación de infraestructura peatonal</t>
        </is>
      </c>
      <c r="AC111" s="3" t="inlineStr">
        <is>
          <t>பாதசாரிகளுக்கான உள்கட்டமைப்பு வசதிகள்</t>
        </is>
      </c>
      <c r="AD111" s="3" t="inlineStr">
        <is>
          <t>การ​จัด​หา​โครง​สร้าง​พื้นฐาน​สำหรับ​คน​เดิน​เท้า</t>
        </is>
      </c>
      <c r="AE111" s="3" t="inlineStr">
        <is>
          <t>Yaya altyapısının sağlanması</t>
        </is>
      </c>
      <c r="AF111" s="3" t="inlineStr">
        <is>
          <t>Облаштування пішохідної інфраструктури</t>
        </is>
      </c>
      <c r="AG111" s="3" t="inlineStr">
        <is>
          <t>Cung cấp cơ sở hạ tầng cho người đi bộ</t>
        </is>
      </c>
    </row>
    <row r="112" ht="30" customHeight="1">
      <c r="A112" s="15" t="inlineStr">
        <is>
          <t>measures</t>
        </is>
      </c>
      <c r="B112" s="15" t="inlineStr">
        <is>
          <t>Cycling participation</t>
        </is>
      </c>
      <c r="C112" s="9" t="inlineStr">
        <is>
          <t>Cycling participation targets</t>
        </is>
      </c>
      <c r="D112" s="8" t="inlineStr">
        <is>
          <t>أهداف المشاركة في ركوب الدراجات</t>
        </is>
      </c>
      <c r="E112" s="8" t="inlineStr">
        <is>
          <t>Objectius de participació en el desplaçament amb bicicleta</t>
        </is>
      </c>
      <c r="F112" s="9" t="inlineStr">
        <is>
          <t>制定自行车使用的目标</t>
        </is>
      </c>
      <c r="G112" s="8" t="inlineStr">
        <is>
          <t>訂立自行車使用的目標</t>
        </is>
      </c>
      <c r="H112" s="16" t="inlineStr">
        <is>
          <t>Ciljevi sudjelovanja u biciklizmu</t>
        </is>
      </c>
      <c r="I112" s="8" t="inlineStr">
        <is>
          <t>Cíle v oblasti cyklistické dopravy</t>
        </is>
      </c>
      <c r="J112" s="16" t="inlineStr">
        <is>
          <t>Målsætnig for udbredelse af cykling</t>
        </is>
      </c>
      <c r="K112" s="16" t="inlineStr">
        <is>
          <t>Doelstellingen voor participatie - fietsen</t>
        </is>
      </c>
      <c r="L112" s="8" t="inlineStr">
        <is>
          <t>Pyöräilyn kasvun tavoitteet</t>
        </is>
      </c>
      <c r="M112" s="8" t="inlineStr">
        <is>
          <t>Objectifs de participation cycliste</t>
        </is>
      </c>
      <c r="N112" s="8" t="inlineStr">
        <is>
          <t>Partizipationsziele zum Rad fahren</t>
        </is>
      </c>
      <c r="O112" s="8" t="inlineStr">
        <is>
          <t>Στόχοι συμμετοχής στην ποδηλασία</t>
        </is>
      </c>
      <c r="P112" s="8" t="inlineStr">
        <is>
          <t>Makasudin shiga keken keke</t>
        </is>
      </c>
      <c r="Q112" s="8" t="inlineStr">
        <is>
          <t>साइक्लिंग भागीदारी लक्ष्य</t>
        </is>
      </c>
      <c r="R112" s="8" t="inlineStr">
        <is>
          <t>Target partisipasi bersepeda</t>
        </is>
      </c>
      <c r="S112" s="8" t="inlineStr">
        <is>
          <t>Obiettivi sull’adesione alla mobilità in bici</t>
        </is>
      </c>
      <c r="T112" s="3" t="inlineStr">
        <is>
          <t>自転車利用の目標値</t>
        </is>
      </c>
      <c r="U112" s="3" t="inlineStr">
        <is>
          <t>자전거 타기 참여 목표</t>
        </is>
      </c>
      <c r="V112" s="3" t="inlineStr">
        <is>
          <t>Ngā taumata whai wāhitanga mo te whakamahi paihikara</t>
        </is>
      </c>
      <c r="W112" s="3" t="inlineStr">
        <is>
          <t>साइकल सहभागिता लक्ष्य</t>
        </is>
      </c>
      <c r="X112" s="44" t="inlineStr">
        <is>
          <t>اهداف مشارکت دوچرخه سواری</t>
        </is>
      </c>
      <c r="Y112" s="3" t="inlineStr">
        <is>
          <t>Metas para o uso da bicicleta</t>
        </is>
      </c>
      <c r="Z112" s="3" t="inlineStr">
        <is>
          <t>Metas de participação em deslocação de bicicleta</t>
        </is>
      </c>
      <c r="AA112" s="3" t="inlineStr">
        <is>
          <t>Objetivos de participación ciclista</t>
        </is>
      </c>
      <c r="AB112" s="3" t="inlineStr">
        <is>
          <t>Objetivos de participación en el desplazamiento en bicicleta</t>
        </is>
      </c>
      <c r="AC112" s="3" t="inlineStr">
        <is>
          <t>சைக்கிள் ஓட்டுதல் பங்கேற்பு இலக்குகள்</t>
        </is>
      </c>
      <c r="AD112" s="3" t="inlineStr">
        <is>
          <t>เป้าหมาย​การ​มี​ส่วน​ร่วม​ใน​การ​ขี่​จักรยาน</t>
        </is>
      </c>
      <c r="AE112" s="3" t="inlineStr">
        <is>
          <t>Bisiklete kullanımı hedefleri</t>
        </is>
      </c>
      <c r="AF112" s="3" t="inlineStr">
        <is>
          <t>Цілі участі в велосипедних прогулянках</t>
        </is>
      </c>
      <c r="AG112" s="3" t="inlineStr">
        <is>
          <t>Các mục tiêu về tham gia đi xe đạp</t>
        </is>
      </c>
    </row>
    <row r="113" ht="30" customHeight="1">
      <c r="A113" s="15" t="inlineStr">
        <is>
          <t>measures</t>
        </is>
      </c>
      <c r="B113" s="15" t="inlineStr">
        <is>
          <t>Cycling infrastructure</t>
        </is>
      </c>
      <c r="C113" s="9" t="inlineStr">
        <is>
          <t>Cycling infrastructure provision</t>
        </is>
      </c>
      <c r="D113" s="8" t="inlineStr">
        <is>
          <t>توفير البنية التحتية لركوب الدراجات</t>
        </is>
      </c>
      <c r="E113" s="8" t="inlineStr">
        <is>
          <t>Provisió d'infraestructures per a la bicicleta</t>
        </is>
      </c>
      <c r="F113" s="9" t="inlineStr">
        <is>
          <t>自行车基础设施建设</t>
        </is>
      </c>
      <c r="G113" s="8" t="inlineStr">
        <is>
          <t>自行車基礎建設</t>
        </is>
      </c>
      <c r="H113" s="16" t="inlineStr">
        <is>
          <t>Osiguranje biciklističke infrastrukture</t>
        </is>
      </c>
      <c r="I113" s="8" t="inlineStr">
        <is>
          <t>Zajištění infrastruktury pro cyklisty</t>
        </is>
      </c>
      <c r="J113" s="16" t="inlineStr">
        <is>
          <t>Bestemmelser for cykelvenlig infrastruktur</t>
        </is>
      </c>
      <c r="K113" s="16" t="inlineStr">
        <is>
          <t>Aanleg infrastructuur voor fietsers</t>
        </is>
      </c>
      <c r="L113" s="8" t="inlineStr">
        <is>
          <t>Pyöräilyinfrastruktuurin tarjonta</t>
        </is>
      </c>
      <c r="M113" s="8" t="inlineStr">
        <is>
          <t>Mise à disposition d'infrastructures cyclables</t>
        </is>
      </c>
      <c r="N113" s="8" t="inlineStr">
        <is>
          <t>Bereitstellung von Infrastruktur für Radfahrer</t>
        </is>
      </c>
      <c r="O113" s="8" t="inlineStr">
        <is>
          <t>Παροχή υποδομής ποδηλασίας</t>
        </is>
      </c>
      <c r="P113" s="8" t="inlineStr">
        <is>
          <t>Samar da kayan aikin keke</t>
        </is>
      </c>
      <c r="Q113" s="8" t="inlineStr">
        <is>
          <t>साइक्लिंग बुनियादी ढांचे का प्रावधान</t>
        </is>
      </c>
      <c r="R113" s="8" t="inlineStr">
        <is>
          <t>Penyediaan infrastruktur bersepeda</t>
        </is>
      </c>
      <c r="S113" s="8" t="inlineStr">
        <is>
          <t>Fornitura di infrastruttura ciclabile</t>
        </is>
      </c>
      <c r="T113" s="3" t="inlineStr">
        <is>
          <t>自転車インフラの整備</t>
        </is>
      </c>
      <c r="U113" s="3" t="inlineStr">
        <is>
          <t>자전거 기반 시설 제공</t>
        </is>
      </c>
      <c r="V113" s="3" t="inlineStr">
        <is>
          <t>Te wharatonga hanganga mo te paihikara</t>
        </is>
      </c>
      <c r="W113" s="3" t="inlineStr">
        <is>
          <t>साइकल पूर्वाधार प्रावधान</t>
        </is>
      </c>
      <c r="X113" s="44" t="inlineStr">
        <is>
          <t>تامین زیرساخت‌های دوچرخه سواری</t>
        </is>
      </c>
      <c r="Y113" s="3" t="inlineStr">
        <is>
          <t>Provisão de infraestrutura de ciclismo</t>
        </is>
      </c>
      <c r="Z113" s="3" t="inlineStr">
        <is>
          <t>Provisão de infraestruturas cicláveis</t>
        </is>
      </c>
      <c r="AA113" s="3" t="inlineStr">
        <is>
          <t>Provisión de infraestructura ciclista</t>
        </is>
      </c>
      <c r="AB113" s="3" t="inlineStr">
        <is>
          <t>Dotación de infraestructura para la bicicleta</t>
        </is>
      </c>
      <c r="AC113" s="3" t="inlineStr">
        <is>
          <t>சைக்கிள் ஓட்டுதல் உள்கட்டமைப்பு வசதிகள்</t>
        </is>
      </c>
      <c r="AD113" s="3" t="inlineStr">
        <is>
          <t>การ​จัด​หา​โครง​สร้าง​พื้นฐาน​สำหรับ​การ​ขี่​จักรยาน</t>
        </is>
      </c>
      <c r="AE113" s="3" t="inlineStr">
        <is>
          <t>Bisiklet altyapısının sağlanması</t>
        </is>
      </c>
      <c r="AF113" s="3" t="inlineStr">
        <is>
          <t>Забезпечення велоінфраструктури</t>
        </is>
      </c>
      <c r="AG113" s="3" t="inlineStr">
        <is>
          <t>Cung cấp cơ sở hạ tầng cho xe đạp</t>
        </is>
      </c>
    </row>
    <row r="114" ht="30" customHeight="1">
      <c r="A114" s="15" t="inlineStr">
        <is>
          <t>measures</t>
        </is>
      </c>
      <c r="B114" s="15" t="inlineStr">
        <is>
          <t>Traffic safety</t>
        </is>
      </c>
      <c r="C114" s="9" t="inlineStr">
        <is>
          <t>Traffic safety requirements</t>
        </is>
      </c>
      <c r="D114" s="8" t="inlineStr">
        <is>
          <t>متطلبات السلامة المرورية</t>
        </is>
      </c>
      <c r="E114" s="8" t="inlineStr">
        <is>
          <t>Requisits de seguretat del trànsit</t>
        </is>
      </c>
      <c r="F114" s="9" t="inlineStr">
        <is>
          <t>交通安全要求</t>
        </is>
      </c>
      <c r="G114" s="8" t="inlineStr">
        <is>
          <t>交通安全要求</t>
        </is>
      </c>
      <c r="H114" s="16" t="inlineStr">
        <is>
          <t>Zahtjevi sigurnosti prometa</t>
        </is>
      </c>
      <c r="I114" s="8" t="inlineStr">
        <is>
          <t>Požadavky na bezpečnost provozu</t>
        </is>
      </c>
      <c r="J114" s="16" t="inlineStr">
        <is>
          <t>Trafiksikkerhedskrav</t>
        </is>
      </c>
      <c r="K114" s="16" t="inlineStr">
        <is>
          <t>Verkeersveiligheidseisen</t>
        </is>
      </c>
      <c r="L114" s="8" t="inlineStr">
        <is>
          <t>Liikenneturvallisuusvaatimukset</t>
        </is>
      </c>
      <c r="M114" s="8" t="inlineStr">
        <is>
          <t>Exigences de sécurité routière</t>
        </is>
      </c>
      <c r="N114" s="8" t="inlineStr">
        <is>
          <t>Anforderungen an die Verkehrssicherheit</t>
        </is>
      </c>
      <c r="O114" s="8" t="inlineStr">
        <is>
          <t>Απαιτήσεις οδικής ασφάλειας</t>
        </is>
      </c>
      <c r="P114" s="8" t="inlineStr">
        <is>
          <t>Bukatun aminci na zirga-zirga</t>
        </is>
      </c>
      <c r="Q114" s="8" t="inlineStr">
        <is>
          <t>यातायात सुरक्षा आवश्यकताएँ</t>
        </is>
      </c>
      <c r="R114" s="8" t="inlineStr">
        <is>
          <t>Persyaratan keselamatan lalu lintas</t>
        </is>
      </c>
      <c r="S114" s="8" t="inlineStr">
        <is>
          <t>Requisiti di sicurezza stradale</t>
        </is>
      </c>
      <c r="T114" s="3" t="inlineStr">
        <is>
          <t>交通安全に関する要件</t>
        </is>
      </c>
      <c r="U114" s="3" t="inlineStr">
        <is>
          <t>교통 안전 요건</t>
        </is>
      </c>
      <c r="V114" s="3" t="inlineStr">
        <is>
          <t>Nga whakaritenga haumaru waka</t>
        </is>
      </c>
      <c r="W114" s="3" t="inlineStr">
        <is>
          <t>ट्राफिक सुरक्षा आवश्यकताहरू</t>
        </is>
      </c>
      <c r="X114" s="44" t="inlineStr">
        <is>
          <t>الزامات ایمنی ترافیک</t>
        </is>
      </c>
      <c r="Y114" s="3" t="inlineStr">
        <is>
          <t>Requisitos de segurança no trânsito</t>
        </is>
      </c>
      <c r="Z114" s="3" t="inlineStr">
        <is>
          <t>Requisitos de segurança no trânsito</t>
        </is>
      </c>
      <c r="AA114" s="3" t="inlineStr">
        <is>
          <t>Requisitos de seguridad vial</t>
        </is>
      </c>
      <c r="AB114" s="3" t="inlineStr">
        <is>
          <t>Requisitos de seguridad vial</t>
        </is>
      </c>
      <c r="AC114" s="3" t="inlineStr">
        <is>
          <t>போக்குவரத்து பாதுகாப்பு தேவைகள்</t>
        </is>
      </c>
      <c r="AD114" s="3" t="inlineStr">
        <is>
          <t>ข้อ​กำหนด​ด้าน​ความ​ปลอดภัย​การ​จราจร</t>
        </is>
      </c>
      <c r="AE114" s="3" t="inlineStr">
        <is>
          <t>Trafik güvenliği gereklilikleri</t>
        </is>
      </c>
      <c r="AF114" s="3" t="inlineStr">
        <is>
          <t>Вимоги безпеки руху</t>
        </is>
      </c>
      <c r="AG114" s="3" t="inlineStr">
        <is>
          <t>Yêu cầu an toàn giao thông</t>
        </is>
      </c>
    </row>
    <row r="115" ht="30" customHeight="1">
      <c r="A115" s="15" t="inlineStr">
        <is>
          <t>measures</t>
        </is>
      </c>
      <c r="B115" s="15" t="inlineStr">
        <is>
          <t>Parking restrictions to discourage car use</t>
        </is>
      </c>
      <c r="C115" s="9" t="inlineStr">
        <is>
          <t>Parking restrictions to discourage car use</t>
        </is>
      </c>
      <c r="D115" s="8" t="inlineStr">
        <is>
          <t>قيود وقوف السيارات لتثبيط استخدام السيارة</t>
        </is>
      </c>
      <c r="E115" s="8" t="inlineStr">
        <is>
          <t>Restriccions d'aparcament per desincentivar l'ús del cotxe</t>
        </is>
      </c>
      <c r="F115" s="9" t="inlineStr">
        <is>
          <t>为减少汽车使用而制定的车辆停泊限制</t>
        </is>
      </c>
      <c r="G115" s="8" t="inlineStr">
        <is>
          <t>為減少汽車使用而制定的車輛停泊限制</t>
        </is>
      </c>
      <c r="H115" s="16" t="inlineStr">
        <is>
          <t>Ograničenja parkiranja kako bi se obeshrabrilo korištenje automobila</t>
        </is>
      </c>
      <c r="I115" s="8" t="inlineStr">
        <is>
          <t>Restrikce parkování s cílem odradit od používání automobilů</t>
        </is>
      </c>
      <c r="J115" s="16" t="inlineStr">
        <is>
          <t>Parkeringsrestriktioner for at modvirke brug af bil</t>
        </is>
      </c>
      <c r="K115" s="16" t="inlineStr">
        <is>
          <t>Parkeerbeperkingen om autogebruik te ontmoedigen</t>
        </is>
      </c>
      <c r="L115" s="8" t="inlineStr">
        <is>
          <t>Pysäköintirajoitukset autoilun vähentämiseksi</t>
        </is>
      </c>
      <c r="M115" s="8" t="inlineStr">
        <is>
          <t>Restrictions de stationnement pour décourager l'utilisation de la voiture</t>
        </is>
      </c>
      <c r="N115" s="8" t="inlineStr">
        <is>
          <t>Parkbeschränkungen, um die Nutzung von Autos zu verringern</t>
        </is>
      </c>
      <c r="O115" s="8" t="inlineStr">
        <is>
          <t>Περιορισμοί στάθμευσης για την αποθάρρυνση της χρήσης αυτοκινήτου</t>
        </is>
      </c>
      <c r="P115" s="8" t="inlineStr">
        <is>
          <t>Ƙuntataccen yin kiliya don hana amfani da mota</t>
        </is>
      </c>
      <c r="Q115" s="8" t="inlineStr">
        <is>
          <t>कार के उपयोग को हतोत्साहित करने के लिए पार्किंग प्रतिबंध</t>
        </is>
      </c>
      <c r="R115" s="8" t="inlineStr">
        <is>
          <t>Pembatasan parkir untuk mencegah penggunaan mobil</t>
        </is>
      </c>
      <c r="S115" s="8" t="inlineStr">
        <is>
          <t>Restrizioni al parcheggio per scoraggiare l'uso dell'auto</t>
        </is>
      </c>
      <c r="T115" s="3" t="inlineStr">
        <is>
          <t>車の使用を減らすための駐車制限</t>
        </is>
      </c>
      <c r="U115" s="3" t="inlineStr">
        <is>
          <t>차량 이용을 줄이기 위한 주차 제한</t>
        </is>
      </c>
      <c r="V115" s="3" t="inlineStr">
        <is>
          <t>Ngā rāhuitanga pāka hei whakapāhunu i te whakamahinga o te motoka</t>
        </is>
      </c>
      <c r="W115" s="3" t="inlineStr">
        <is>
          <t>कार प्रयोगलाई निरुत्साहित गर्न पार्किङ प्रतिबन्धहरू</t>
        </is>
      </c>
      <c r="X115" s="44" t="inlineStr">
        <is>
          <t>محدودیت‌های پارکینگ برای کاهش استفاده از خودرو</t>
        </is>
      </c>
      <c r="Y115" s="3" t="inlineStr">
        <is>
          <t>Restrições de estacionamento para desencorajar o uso do carro</t>
        </is>
      </c>
      <c r="Z115" s="3" t="inlineStr">
        <is>
          <t>Restrições de estacionamento para desencorajar o uso do carro</t>
        </is>
      </c>
      <c r="AA115" s="3" t="inlineStr">
        <is>
          <t>Restricciones de estacionamiento para desalentar el uso del automóvil</t>
        </is>
      </c>
      <c r="AB115" s="3" t="inlineStr">
        <is>
          <t>Restricciones en el aparcamiento para desincentivar el uso del automóvil</t>
        </is>
      </c>
      <c r="AC115" s="3" t="inlineStr">
        <is>
          <t>காரைப் பயன்படுத்துவதைத் தடுக்க பார்க்கிங் கட்டுப்பாடுகள்</t>
        </is>
      </c>
      <c r="AD115" s="3" t="inlineStr">
        <is>
          <t>การ​สร้าง​เงื่อนไข​ใน​การ​จอด​รถ​เพื่อ​ลด​การ​ใช้​รถ​ยนต์</t>
        </is>
      </c>
      <c r="AE115" s="3" t="inlineStr">
        <is>
          <t>Araba kullanımını caydırmak için park sınırlamaları</t>
        </is>
      </c>
      <c r="AF115" s="3" t="inlineStr">
        <is>
          <t>Обмеження паркування, щоб перешкодити використанню автомобіля</t>
        </is>
      </c>
      <c r="AG115" s="3" t="inlineStr">
        <is>
          <t>Các biện pháp hạn chế việc đỗ xe để làm giảm việc sử dụng xe hơi</t>
        </is>
      </c>
    </row>
    <row r="116">
      <c r="A116" s="15" t="inlineStr">
        <is>
          <t>measures</t>
        </is>
      </c>
      <c r="B116" s="15" t="inlineStr">
        <is>
          <t>Street connectivity</t>
        </is>
      </c>
      <c r="C116" s="9" t="inlineStr">
        <is>
          <t>Street connectivity requirements</t>
        </is>
      </c>
      <c r="D116" s="8" t="inlineStr">
        <is>
          <t>متطلبات اتصال الشوارع</t>
        </is>
      </c>
      <c r="E116" s="8" t="inlineStr">
        <is>
          <t>Requisits de connectivitat dels carrers</t>
        </is>
      </c>
      <c r="F116" s="9" t="inlineStr">
        <is>
          <t>街道连接性要求</t>
        </is>
      </c>
      <c r="G116" s="8" t="inlineStr">
        <is>
          <t>街道連接性要求</t>
        </is>
      </c>
      <c r="H116" s="16" t="inlineStr">
        <is>
          <t>Zahtjevi za ulično povezivanje</t>
        </is>
      </c>
      <c r="I116" s="8" t="inlineStr">
        <is>
          <t>Požadavky na propojení ulic</t>
        </is>
      </c>
      <c r="J116" s="16" t="inlineStr">
        <is>
          <t>Bestemmelser for vejforbindelser</t>
        </is>
      </c>
      <c r="K116" s="16" t="inlineStr">
        <is>
          <t>Vereisten voor stratenconnectiviteit</t>
        </is>
      </c>
      <c r="L116" s="8" t="inlineStr">
        <is>
          <t>Katuverkon kytkeytyneisyyden vaatimukset</t>
        </is>
      </c>
      <c r="M116" s="8" t="inlineStr">
        <is>
          <t>Exigences de connectivité des rues</t>
        </is>
      </c>
      <c r="N116" s="8" t="inlineStr">
        <is>
          <t>Anforderungen an die Straßenkonnektivität</t>
        </is>
      </c>
      <c r="O116" s="8" t="inlineStr">
        <is>
          <t>Απαιτήσεις συνδεσιμότητας στο δρόμο</t>
        </is>
      </c>
      <c r="P116" s="8" t="inlineStr">
        <is>
          <t>Bukatun haɗin kan titi</t>
        </is>
      </c>
      <c r="Q116" s="8" t="inlineStr">
        <is>
          <t>सड़क कनेक्टिविटी आवश्यकताएँ</t>
        </is>
      </c>
      <c r="R116" s="8" t="inlineStr">
        <is>
          <t>Persyaratan konektivitas jalan</t>
        </is>
      </c>
      <c r="S116" s="8" t="inlineStr">
        <is>
          <t>Requisiti di connettività stradale</t>
        </is>
      </c>
      <c r="T116" s="3" t="inlineStr">
        <is>
          <t>街路の接続性に関する要件</t>
        </is>
      </c>
      <c r="U116" s="3" t="inlineStr">
        <is>
          <t>도로 연결성 요건</t>
        </is>
      </c>
      <c r="V116" s="3" t="inlineStr">
        <is>
          <t>Ngā tikanga mo te tūhonotanga tiriti</t>
        </is>
      </c>
      <c r="W116" s="3" t="inlineStr">
        <is>
          <t>सडक जडान आवश्यकताहरू</t>
        </is>
      </c>
      <c r="X116" s="44" t="inlineStr">
        <is>
          <t>الزامات اتصال خیابان</t>
        </is>
      </c>
      <c r="Y116" s="3" t="inlineStr">
        <is>
          <t>Requisitos de conectividade de ruas</t>
        </is>
      </c>
      <c r="Z116" s="3" t="inlineStr">
        <is>
          <t>Requisitos de conectividade de rua</t>
        </is>
      </c>
      <c r="AA116" s="3" t="inlineStr">
        <is>
          <t>Requisitos de conectividad de calles</t>
        </is>
      </c>
      <c r="AB116" s="3" t="inlineStr">
        <is>
          <t>Requisitos de conectividad de las calles</t>
        </is>
      </c>
      <c r="AC116" s="3" t="inlineStr">
        <is>
          <t>தெரு இணைப்பு தேவைகள்</t>
        </is>
      </c>
      <c r="AD116" s="3" t="inlineStr">
        <is>
          <t>ข้อ​กำหนดการ​เชื่อม​ต่อ​ถนน</t>
        </is>
      </c>
      <c r="AE116" s="3" t="inlineStr">
        <is>
          <t>Sokak bağlantı gereklilikleri</t>
        </is>
      </c>
      <c r="AF116" s="3" t="inlineStr">
        <is>
          <t>Вимоги до підключення вулиць</t>
        </is>
      </c>
      <c r="AG116" s="3" t="inlineStr">
        <is>
          <t>Các yêu cầu về kết nối đường xá</t>
        </is>
      </c>
    </row>
    <row r="117" ht="30" customHeight="1">
      <c r="A117" s="15" t="inlineStr">
        <is>
          <t>measures</t>
        </is>
      </c>
      <c r="B117" s="15" t="inlineStr">
        <is>
          <t>Housing or population density</t>
        </is>
      </c>
      <c r="C117" s="9" t="inlineStr">
        <is>
          <t>Housing density requirements</t>
        </is>
      </c>
      <c r="D117" s="8" t="inlineStr">
        <is>
          <t>متطلبات كثافة السكن</t>
        </is>
      </c>
      <c r="E117" s="8" t="inlineStr">
        <is>
          <t>Requisits de densitat d'habitatge</t>
        </is>
      </c>
      <c r="F117" s="9" t="inlineStr">
        <is>
          <t>住宅密度要求</t>
        </is>
      </c>
      <c r="G117" s="8" t="inlineStr">
        <is>
          <t>住宅密度要求</t>
        </is>
      </c>
      <c r="H117" s="16" t="inlineStr">
        <is>
          <t>Zahtjevi za gustoću smještaja</t>
        </is>
      </c>
      <c r="I117" s="8" t="inlineStr">
        <is>
          <t>Požadavky na hustotu zástavby</t>
        </is>
      </c>
      <c r="J117" s="16" t="inlineStr">
        <is>
          <t>Bestemmelser for byfortætning</t>
        </is>
      </c>
      <c r="K117" s="16" t="inlineStr">
        <is>
          <t>Vereisten voor dichtheid van woningen</t>
        </is>
      </c>
      <c r="L117" s="8" t="inlineStr">
        <is>
          <t>Aluetehokkuusvaatimukset</t>
        </is>
      </c>
      <c r="M117" s="8" t="inlineStr">
        <is>
          <t>Exigences de densité de logement</t>
        </is>
      </c>
      <c r="N117" s="8" t="inlineStr">
        <is>
          <t>Anforderungen an die Bebauungsdichte</t>
        </is>
      </c>
      <c r="O117" s="8" t="inlineStr">
        <is>
          <t>Απαιτήσεις πυκνότητας κατοικίας</t>
        </is>
      </c>
      <c r="P117" s="8" t="inlineStr">
        <is>
          <t>Bukatun yawa na gidaje</t>
        </is>
      </c>
      <c r="Q117" s="8" t="inlineStr">
        <is>
          <t>आवास घनत्व आवश्यकताएँ</t>
        </is>
      </c>
      <c r="R117" s="8" t="inlineStr">
        <is>
          <t>Persyaratan kepadatan perumahan</t>
        </is>
      </c>
      <c r="S117" s="8" t="inlineStr">
        <is>
          <t>Requisiti sulla densità abitativa</t>
        </is>
      </c>
      <c r="T117" s="3" t="inlineStr">
        <is>
          <t>住宅密度に関する要件</t>
        </is>
      </c>
      <c r="U117" s="3" t="inlineStr">
        <is>
          <t>주택 밀도 요건</t>
        </is>
      </c>
      <c r="V117" s="3" t="inlineStr">
        <is>
          <t>Ngā tikanga mo te pururuatanga whare</t>
        </is>
      </c>
      <c r="W117" s="3" t="inlineStr">
        <is>
          <t>आवास घनत्व आवश्यकताहरु</t>
        </is>
      </c>
      <c r="X117" s="44" t="inlineStr">
        <is>
          <t>الزامات تراکم مسکن</t>
        </is>
      </c>
      <c r="Y117" s="3" t="inlineStr">
        <is>
          <t>Requisitos de densidade residencial</t>
        </is>
      </c>
      <c r="Z117" s="3" t="inlineStr">
        <is>
          <t>Requisitos de densidade habitacional</t>
        </is>
      </c>
      <c r="AA117" s="3" t="inlineStr">
        <is>
          <t>Requisitos de densidad residencial</t>
        </is>
      </c>
      <c r="AB117" s="3" t="inlineStr">
        <is>
          <t>Requisitos de densidad de viviendas</t>
        </is>
      </c>
      <c r="AC117" s="3" t="inlineStr">
        <is>
          <t>வீட்டு அடர்த்தி தேவைகள்</t>
        </is>
      </c>
      <c r="AD117" s="3" t="inlineStr">
        <is>
          <t>ข้อ​กำหนด​ความ​หนา​แน่น​ของ​ที่​อยู่​อาศัย</t>
        </is>
      </c>
      <c r="AE117" s="3" t="inlineStr">
        <is>
          <t>Konut yoğunluğu gereklilikleri</t>
        </is>
      </c>
      <c r="AF117" s="3" t="inlineStr">
        <is>
          <t>Вимоги до щільності житла</t>
        </is>
      </c>
      <c r="AG117" s="3" t="inlineStr">
        <is>
          <t>Các yêu cầu về mật độ nhà ở</t>
        </is>
      </c>
    </row>
    <row r="118">
      <c r="A118" s="15" t="inlineStr">
        <is>
          <t>measures</t>
        </is>
      </c>
      <c r="B118" s="15" t="inlineStr">
        <is>
          <t>Residential building heights</t>
        </is>
      </c>
      <c r="C118" s="9" t="inlineStr">
        <is>
          <t>Residential building height restrictions</t>
        </is>
      </c>
      <c r="D118" s="8" t="inlineStr">
        <is>
          <t>قيود ارتفاع المباني السكنية</t>
        </is>
      </c>
      <c r="E118" s="8" t="inlineStr">
        <is>
          <t>Restriccions d'alçada d'edificis residencials</t>
        </is>
      </c>
      <c r="F118" s="9" t="inlineStr">
        <is>
          <t>住宅建筑高度限制</t>
        </is>
      </c>
      <c r="G118" s="8" t="inlineStr">
        <is>
          <t>住宅建築高度限制</t>
        </is>
      </c>
      <c r="H118" s="16" t="inlineStr">
        <is>
          <t>Ograničenja visine stambenih zgrada</t>
        </is>
      </c>
      <c r="I118" s="8" t="inlineStr">
        <is>
          <t>Omezení výšky obytných budov</t>
        </is>
      </c>
      <c r="J118" s="16" t="inlineStr">
        <is>
          <t>Højdebegrænsninger for boligbyggeri</t>
        </is>
      </c>
      <c r="K118" s="16" t="inlineStr">
        <is>
          <t>Hoogtebeperkingen voor woongebouwen</t>
        </is>
      </c>
      <c r="L118" s="8" t="inlineStr">
        <is>
          <t>Asuinrakennusten korkeusrajoitukset</t>
        </is>
      </c>
      <c r="M118" s="8" t="inlineStr">
        <is>
          <t>Restrictions de hauteur des bâtiments résidentiels</t>
        </is>
      </c>
      <c r="N118" s="8" t="inlineStr">
        <is>
          <t>Höhenbeschränkungen für Wohngebäude</t>
        </is>
      </c>
      <c r="O118" s="8" t="inlineStr">
        <is>
          <t>Περιορισμοί ύψους κτιρίου κατοικιών</t>
        </is>
      </c>
      <c r="P118" s="8" t="inlineStr">
        <is>
          <t>Ƙuntatawa tsayin ginin wurin zama</t>
        </is>
      </c>
      <c r="Q118" s="8" t="inlineStr">
        <is>
          <t>आवासीय भवन की ऊंचाई पर प्रतिबंध</t>
        </is>
      </c>
      <c r="R118" s="8" t="inlineStr">
        <is>
          <t>Pembatasan ketinggian bangunan tempat tinggal</t>
        </is>
      </c>
      <c r="S118" s="8" t="inlineStr">
        <is>
          <t>Limitazioni all’altezza degli edifici residenziali</t>
        </is>
      </c>
      <c r="T118" s="3" t="inlineStr">
        <is>
          <t>住宅建築の高さ制限</t>
        </is>
      </c>
      <c r="U118" s="3" t="inlineStr">
        <is>
          <t>주거용 건물 높이 제한</t>
        </is>
      </c>
      <c r="V118" s="3" t="inlineStr">
        <is>
          <t>Nga here teitei o te whare noho</t>
        </is>
      </c>
      <c r="W118" s="3" t="inlineStr">
        <is>
          <t>आवासीय भवन उचाइ प्रतिबन्धहरू</t>
        </is>
      </c>
      <c r="X118" s="44" t="inlineStr">
        <is>
          <t>محدودیت ارتفاع ساختمان مسکونی</t>
        </is>
      </c>
      <c r="Y118" s="3" t="inlineStr">
        <is>
          <t>Restrições de altura de edifícios residenciais</t>
        </is>
      </c>
      <c r="Z118" s="3" t="inlineStr">
        <is>
          <t xml:space="preserve"> Restrições de altura de edifícios residenciais</t>
        </is>
      </c>
      <c r="AA118" s="3" t="inlineStr">
        <is>
          <t>Restricciones de altura de edificios residenciales</t>
        </is>
      </c>
      <c r="AB118" s="3" t="inlineStr">
        <is>
          <t>Restricciones en la altura de edificios residenciales</t>
        </is>
      </c>
      <c r="AC118" s="3" t="inlineStr">
        <is>
          <t>குடியிருப்பு கட்டிட உயர கட்டுப்பாடுகள்</t>
        </is>
      </c>
      <c r="AD118" s="3" t="inlineStr">
        <is>
          <t>ข้อ​จำกัด​ความ​สูง​ของ​อาคาร​ที่​พัก​อาศัย</t>
        </is>
      </c>
      <c r="AE118" s="3" t="inlineStr">
        <is>
          <t>Konut binası yükseklik sınırlamaları</t>
        </is>
      </c>
      <c r="AF118" s="3" t="inlineStr">
        <is>
          <t>Обмеження висоти житлових будинків</t>
        </is>
      </c>
      <c r="AG118" s="3" t="inlineStr">
        <is>
          <t>Hạn chế chiều cao xây dựng nhà ở</t>
        </is>
      </c>
    </row>
    <row r="119">
      <c r="A119" s="15" t="inlineStr">
        <is>
          <t>measures</t>
        </is>
      </c>
      <c r="B119" s="15" t="inlineStr">
        <is>
          <t>Limits on greenfield housing development</t>
        </is>
      </c>
      <c r="C119" s="9" t="inlineStr">
        <is>
          <t>Limits on greenfield housing development</t>
        </is>
      </c>
      <c r="D119" s="8" t="inlineStr">
        <is>
          <t>القيود المفروضة على تطوير الإسكان الأخضر</t>
        </is>
      </c>
      <c r="E119" s="8" t="inlineStr">
        <is>
          <t>Limitacions a la construcció d'habitatges en zones verdes</t>
        </is>
      </c>
      <c r="F119" s="9" t="inlineStr">
        <is>
          <t>绿地住房开发的限制</t>
        </is>
      </c>
      <c r="G119" s="8" t="inlineStr">
        <is>
          <t>綠地住房開發的限制</t>
        </is>
      </c>
      <c r="H119" s="16" t="inlineStr">
        <is>
          <t>Ograničenja izgradnje novih stambenih objekata</t>
        </is>
      </c>
      <c r="I119" s="8" t="inlineStr">
        <is>
          <t>Omezení výstavby bydlení na zelené louce</t>
        </is>
      </c>
      <c r="J119" s="16" t="inlineStr">
        <is>
          <t>Grænser for udvikling af grønne boliger</t>
        </is>
      </c>
      <c r="K119" s="16" t="inlineStr">
        <is>
          <t>Grenzen aan de ontwikkeling van groene woningen</t>
        </is>
      </c>
      <c r="L119" s="8" t="inlineStr">
        <is>
          <t>Viheralueille rakentamisen rajoitukset</t>
        </is>
      </c>
      <c r="M119" s="8" t="inlineStr">
        <is>
          <t>Limites du développement de nouveaux logements</t>
        </is>
      </c>
      <c r="N119" s="8" t="inlineStr">
        <is>
          <t>Grenzen für die Entwicklung von Wohnraum auf der grünen Wiese</t>
        </is>
      </c>
      <c r="O119" s="8" t="inlineStr">
        <is>
          <t>Όρια στην ανάπτυξη οικιστικών κατοικιών στο πράσινο</t>
        </is>
      </c>
      <c r="P119" s="8" t="inlineStr">
        <is>
          <t>Iyaka kan ci gaban gidaje na Greenfield</t>
        </is>
      </c>
      <c r="Q119" s="8" t="inlineStr">
        <is>
          <t>ग्रीनफ़ील्ड आवास विकास पर सीमाएँ</t>
        </is>
      </c>
      <c r="R119" s="8" t="inlineStr">
        <is>
          <t>Batasan pembangunan perumahan greenfield</t>
        </is>
      </c>
      <c r="S119" s="8" t="inlineStr">
        <is>
          <t>Limiti allo sviluppo edilizio greenfield</t>
        </is>
      </c>
      <c r="T119" s="3" t="inlineStr">
        <is>
          <t>グリーンフィールドにおける住宅開発の制限</t>
        </is>
      </c>
      <c r="U119" s="3" t="inlineStr">
        <is>
          <t>임야 주택 개발 제한</t>
        </is>
      </c>
      <c r="V119" s="3" t="inlineStr">
        <is>
          <t>Te herenga mo te whakawhanaketanga whare papaariki</t>
        </is>
      </c>
      <c r="W119" s="3" t="inlineStr">
        <is>
          <t>ग्रीनफिल्ड आवास विकासमा सीमाहरू</t>
        </is>
      </c>
      <c r="X119" s="44" t="inlineStr">
        <is>
          <t>محدودیت‌ها در توسعه مسکن در اراضی بکر</t>
        </is>
      </c>
      <c r="Y119" s="3" t="inlineStr">
        <is>
          <t>Limites a à urbanização em cinturões verdes</t>
        </is>
      </c>
      <c r="Z119" s="3" t="inlineStr">
        <is>
          <t>Limites no desenvolvimento de moradias greenfield</t>
        </is>
      </c>
      <c r="AA119" s="3" t="inlineStr">
        <is>
          <t>Límites al desarrollo de viviendas nuevas</t>
        </is>
      </c>
      <c r="AB119" s="3" t="inlineStr">
        <is>
          <t>Limitaciones en la construcción de viviendas en zonas verdes</t>
        </is>
      </c>
      <c r="AC119" s="3" t="inlineStr">
        <is>
          <t>கிரீன்ஃபீல்ட் வீட்டு மேம்பாட்டிற்கான வரம்புகள்</t>
        </is>
      </c>
      <c r="AD119" s="3" t="inlineStr">
        <is>
          <t>ข้อ​จำกัด​ใน​การ​พัฒนา​ที่​อยู่​อาศัย​สี​เขียว</t>
        </is>
      </c>
      <c r="AE119" s="3" t="inlineStr">
        <is>
          <t>Sıfırdan konut geliştirmede sınırlar</t>
        </is>
      </c>
      <c r="AF119" s="3" t="inlineStr">
        <is>
          <t>Обмеження на будівництво житла з нуля</t>
        </is>
      </c>
      <c r="AG119" s="3" t="inlineStr">
        <is>
          <t>Hạn chế phát triển nhà ở vùng xanh</t>
        </is>
      </c>
    </row>
    <row r="120" ht="30" customHeight="1">
      <c r="A120" s="15" t="inlineStr">
        <is>
          <t>measures</t>
        </is>
      </c>
      <c r="B120" s="15" t="inlineStr">
        <is>
          <t>Mixture of housing types/sizes</t>
        </is>
      </c>
      <c r="C120" s="9" t="inlineStr">
        <is>
          <t>Mixture of housing types/sizes</t>
        </is>
      </c>
      <c r="D120" s="8" t="inlineStr">
        <is>
          <t>مزيج من أنواع/أحجام المساكن</t>
        </is>
      </c>
      <c r="E120" s="8" t="inlineStr">
        <is>
          <t>Barreja de tipus/mida d'habitatge</t>
        </is>
      </c>
      <c r="F120" s="9" t="inlineStr">
        <is>
          <t>住多样性房类型/尺寸</t>
        </is>
      </c>
      <c r="G120" s="8" t="inlineStr">
        <is>
          <t>多樣性住房類型/尺寸</t>
        </is>
      </c>
      <c r="H120" s="16" t="inlineStr">
        <is>
          <t>Mješavina tipova/veličina kućišta</t>
        </is>
      </c>
      <c r="I120" s="8" t="inlineStr">
        <is>
          <t>Směs typů/velikostí krytu</t>
        </is>
      </c>
      <c r="J120" s="16" t="inlineStr">
        <is>
          <t>Blanding af boligtyper/størrelser</t>
        </is>
      </c>
      <c r="K120" s="16" t="inlineStr">
        <is>
          <t>Mengsel van woningtypen/groottes</t>
        </is>
      </c>
      <c r="L120" s="8" t="inlineStr">
        <is>
          <t xml:space="preserve">Sekoittunut asuntotyyppijakauma/ asuntojen kokojakauma </t>
        </is>
      </c>
      <c r="M120" s="8" t="inlineStr">
        <is>
          <t>Mélange de types/tailles de logements</t>
        </is>
      </c>
      <c r="N120" s="8" t="inlineStr">
        <is>
          <t>Mischung aus Wohnungstypen/-größen</t>
        </is>
      </c>
      <c r="O120" s="8" t="inlineStr">
        <is>
          <t>Μίγμα τύπων/μεγεθών κατοικιών</t>
        </is>
      </c>
      <c r="P120" s="8" t="inlineStr">
        <is>
          <t>Cakuda nau'ikan gidaje/masu girma dabam</t>
        </is>
      </c>
      <c r="Q120" s="8" t="inlineStr">
        <is>
          <t>आवास के प्रकार/आकार का मिश्रण</t>
        </is>
      </c>
      <c r="R120" s="8" t="inlineStr">
        <is>
          <t>Campuran tipe/ukuran perumahan</t>
        </is>
      </c>
      <c r="S120" s="8" t="inlineStr">
        <is>
          <t>Mix di tipologie/dimensioni delle abitazioni</t>
        </is>
      </c>
      <c r="T120" s="3" t="inlineStr">
        <is>
          <t>住宅の種類/サイズの混在</t>
        </is>
      </c>
      <c r="U120" s="3" t="inlineStr">
        <is>
          <t>주택 유형/크기의 혼합</t>
        </is>
      </c>
      <c r="V120" s="3" t="inlineStr">
        <is>
          <t>Te ranunga o nga momo whare/rahi</t>
        </is>
      </c>
      <c r="W120" s="3" t="inlineStr">
        <is>
          <t>आवास प्रकार/आकारको मिश्रण</t>
        </is>
      </c>
      <c r="X120" s="44" t="inlineStr">
        <is>
          <t>تنوع در انواع/اندازه‌های مسکن</t>
        </is>
      </c>
      <c r="Y120" s="3" t="inlineStr">
        <is>
          <t>Mistura de tipos/tamanhos de residências</t>
        </is>
      </c>
      <c r="Z120" s="3" t="inlineStr">
        <is>
          <t>Mistura de tipos/tamanhos de caixas</t>
        </is>
      </c>
      <c r="AA120" s="3" t="inlineStr">
        <is>
          <t>Mezcla de tipos y tamaños de viviendas</t>
        </is>
      </c>
      <c r="AB120" s="3" t="inlineStr">
        <is>
          <t>Mezcla de tipos/tamaños de viviendas</t>
        </is>
      </c>
      <c r="AC120" s="3" t="inlineStr">
        <is>
          <t>வீட்டு வகைகள்/அளவுகளின் கலவை</t>
        </is>
      </c>
      <c r="AD120" s="3" t="inlineStr">
        <is>
          <t>การ​ผสม​ผสาน​ของ​ประเภท/ขนาด​ของ​ที่​อยู่​อาศัย</t>
        </is>
      </c>
      <c r="AE120" s="3" t="inlineStr">
        <is>
          <t>Konut türleri/boyutlarının karışımı</t>
        </is>
      </c>
      <c r="AF120" s="3" t="inlineStr">
        <is>
          <t>Поєднання типів/розмірів житла</t>
        </is>
      </c>
      <c r="AG120" s="3" t="inlineStr">
        <is>
          <t>Sự kết hợp giữa các loại/quy mô nhà ở</t>
        </is>
      </c>
    </row>
    <row r="121" ht="30" customHeight="1">
      <c r="A121" s="15" t="inlineStr">
        <is>
          <t>measures</t>
        </is>
      </c>
      <c r="B121" s="15" t="inlineStr">
        <is>
          <t>Mixture of local destinations for daily living</t>
        </is>
      </c>
      <c r="C121" s="9" t="inlineStr">
        <is>
          <t>Mixture of local destinations for daily living</t>
        </is>
      </c>
      <c r="D121" s="8" t="inlineStr">
        <is>
          <t>مزيج من الوجهات المحلية للحياة اليومية</t>
        </is>
      </c>
      <c r="E121" s="8" t="inlineStr">
        <is>
          <t>Barreja de destinacions locals per a la vida quotidiana</t>
        </is>
      </c>
      <c r="F121" s="9" t="inlineStr">
        <is>
          <t>当地日常生活目的地的多样性</t>
        </is>
      </c>
      <c r="G121" s="8" t="inlineStr">
        <is>
          <t>當地日常生活目的地的多樣性</t>
        </is>
      </c>
      <c r="H121" s="16" t="inlineStr">
        <is>
          <t>Mješavina lokalnih destinacija za svakodnevni život</t>
        </is>
      </c>
      <c r="I121" s="8" t="inlineStr">
        <is>
          <t>Směs místních destinací pro každodenní život</t>
        </is>
      </c>
      <c r="J121" s="16" t="inlineStr">
        <is>
          <t>Blanding af lokale destinationer til dagliglivet</t>
        </is>
      </c>
      <c r="K121" s="16" t="inlineStr">
        <is>
          <t>Mix van lokale bestemmingen voor het dagelijks leven</t>
        </is>
      </c>
      <c r="L121" s="8" t="inlineStr">
        <is>
          <t>Sekoitus paikallisia arjen kohteita</t>
        </is>
      </c>
      <c r="M121" s="8" t="inlineStr">
        <is>
          <t>Mélange de destinations locales pour la vie quotidienne</t>
        </is>
      </c>
      <c r="N121" s="8" t="inlineStr">
        <is>
          <t>Mischung aus lokalen Zielen für das tägliche Leben</t>
        </is>
      </c>
      <c r="O121" s="8" t="inlineStr">
        <is>
          <t>Μίγμα τοπικών προορισμών για καθημερινή διαβίωση</t>
        </is>
      </c>
      <c r="P121" s="8" t="inlineStr">
        <is>
          <t>Cakuɗen wurare na gida don rayuwar yau da kullun</t>
        </is>
      </c>
      <c r="Q121" s="8" t="inlineStr">
        <is>
          <t>दैनिक जीवन के लिए स्थानीय स्थलों का मिश्रण</t>
        </is>
      </c>
      <c r="R121" s="8" t="inlineStr">
        <is>
          <t>Campuran destinasi lokal untuk kehidupan sehari-hari</t>
        </is>
      </c>
      <c r="S121" s="8" t="inlineStr">
        <is>
          <t>Mix di destinazioni locali utili nella vita quotidiana</t>
        </is>
      </c>
      <c r="T121" s="3" t="inlineStr">
        <is>
          <t>日常生活のための身近な目的地の混在</t>
        </is>
      </c>
      <c r="U121" s="3" t="inlineStr">
        <is>
          <t>근린생활시설의 혼합</t>
        </is>
      </c>
      <c r="V121" s="3" t="inlineStr">
        <is>
          <t>Te whakakotahitanga o nga waahi o te rohe mo te oranga o ia ra</t>
        </is>
      </c>
      <c r="W121" s="3" t="inlineStr">
        <is>
          <t>दैनिक जीवनको लागि स्थानीय गन्तव्यहरूको मिश्रण</t>
        </is>
      </c>
      <c r="X121" s="44" t="inlineStr">
        <is>
          <t>تنوع در مقاصد محلی برای زندگی روزمره</t>
        </is>
      </c>
      <c r="Y121" s="3" t="inlineStr">
        <is>
          <t>Mistura de destinos locais para a vida cotidiana</t>
        </is>
      </c>
      <c r="Z121" s="3" t="inlineStr">
        <is>
          <t>Mistura de destinos locais para a vida diária</t>
        </is>
      </c>
      <c r="AA121" s="3" t="inlineStr">
        <is>
          <t>Mezcla de destinos locales para la vida diaria</t>
        </is>
      </c>
      <c r="AB121" s="3" t="inlineStr">
        <is>
          <t>Mezcla de destinos locales para la vida cotidiana</t>
        </is>
      </c>
      <c r="AC121" s="3" t="inlineStr">
        <is>
          <t>தினசரி வாழ்க்கைக்கான உள்ளூர் இடங்களின் கலவை</t>
        </is>
      </c>
      <c r="AD121" s="3" t="inlineStr">
        <is>
          <t>การ​ผสม​ผสาน​จุดหมาย​ปลาย​ทาง​ใน​ท้อง​ถิ่น​เพื่อ​การ​ดำรง​ชีวิต​ประจำ​วัน</t>
        </is>
      </c>
      <c r="AE121" s="3" t="inlineStr">
        <is>
          <t>Günlük yaşam için yerel destinasyonların karışımı</t>
        </is>
      </c>
      <c r="AF121" s="3" t="inlineStr">
        <is>
          <t>Поєднання місцевих місць для щоденного життя</t>
        </is>
      </c>
      <c r="AG121" s="3" t="inlineStr">
        <is>
          <t>Sự kết hợp của các điểm đến địa phương cho cuộc sống hàng ngày</t>
        </is>
      </c>
    </row>
    <row r="122" ht="30" customHeight="1">
      <c r="A122" s="15" t="inlineStr">
        <is>
          <t>measures</t>
        </is>
      </c>
      <c r="B122" s="15" t="inlineStr">
        <is>
          <t>Close distance to daily living destinations</t>
        </is>
      </c>
      <c r="C122" s="9" t="inlineStr">
        <is>
          <t>Close distance to daily living destinations</t>
        </is>
      </c>
      <c r="D122" s="8" t="inlineStr">
        <is>
          <t>مسافة قريبة من وجهات الحياة اليومية</t>
        </is>
      </c>
      <c r="E122" s="8" t="inlineStr">
        <is>
          <t>Proximitat a les destinacions de la vida quotidiana</t>
        </is>
      </c>
      <c r="F122" s="9" t="inlineStr">
        <is>
          <t>距离日常生活目的地较近</t>
        </is>
      </c>
      <c r="G122" s="8" t="inlineStr">
        <is>
          <t>距離日常生活目的地較近</t>
        </is>
      </c>
      <c r="H122" s="16" t="inlineStr">
        <is>
          <t>Bliska udaljenost od dnevnih odredišta za život</t>
        </is>
      </c>
      <c r="I122" s="8" t="inlineStr">
        <is>
          <t>Blízká vzdálenost do destinací každodenního života</t>
        </is>
      </c>
      <c r="J122" s="16" t="inlineStr">
        <is>
          <t>Tæt på hverdagens destinationer</t>
        </is>
      </c>
      <c r="K122" s="16" t="inlineStr">
        <is>
          <t>Korte afstand tot dagelijkse woonbestemmingen</t>
        </is>
      </c>
      <c r="L122" s="8" t="inlineStr">
        <is>
          <t>Lyhyt etäisyys päivittäisiin kohteisiin</t>
        </is>
      </c>
      <c r="M122" s="8" t="inlineStr">
        <is>
          <t>À proximité des destinations de vie quotidienne</t>
        </is>
      </c>
      <c r="N122" s="8" t="inlineStr">
        <is>
          <t>In unmittelbarer Nähe zu den Zielen des täglichen Lebens</t>
        </is>
      </c>
      <c r="O122" s="8" t="inlineStr">
        <is>
          <t>Κοντά σε προορισμούς καθημερινής διαβίωσης</t>
        </is>
      </c>
      <c r="P122" s="8" t="inlineStr">
        <is>
          <t>Kusa da nisa zuwa wuraren zama na yau da kullun</t>
        </is>
      </c>
      <c r="Q122" s="8" t="inlineStr">
        <is>
          <t>दैनिक जीवन के गंतव्यों से निकट दूरी</t>
        </is>
      </c>
      <c r="R122" s="8" t="inlineStr">
        <is>
          <t>Jarak dekat ke destinasi kehidupan sehari-hari</t>
        </is>
      </c>
      <c r="S122" s="8" t="inlineStr">
        <is>
          <t>A breve distanza dalle destinazioni utili nella vita quotidiana</t>
        </is>
      </c>
      <c r="T122" s="3" t="inlineStr">
        <is>
          <t>日常生活のための身近な目的地への近接性</t>
        </is>
      </c>
      <c r="U122" s="3" t="inlineStr">
        <is>
          <t>근린생활시설까지 거리 요건</t>
        </is>
      </c>
      <c r="V122" s="3" t="inlineStr">
        <is>
          <t>He tata ki nga waahi noho o ia ra</t>
        </is>
      </c>
      <c r="W122" s="3" t="inlineStr">
        <is>
          <t>दैनिक जीवन गन्तव्यहरूको नजिकको दूरी</t>
        </is>
      </c>
      <c r="X122" s="44" t="inlineStr">
        <is>
          <t>فاصله نزدیک به مقاصد زندگی روزانه</t>
        </is>
      </c>
      <c r="Y122" s="3" t="inlineStr">
        <is>
          <t>Proximidade dos destinos de vida cotidiana</t>
        </is>
      </c>
      <c r="Z122" s="3" t="inlineStr">
        <is>
          <t>Perto dos destinos de vida diária</t>
        </is>
      </c>
      <c r="AA122" s="3" t="inlineStr">
        <is>
          <t>Distancia cercana a destinos de la vida diaria</t>
        </is>
      </c>
      <c r="AB122" s="3" t="inlineStr">
        <is>
          <t>Cercanía a destinos de la vida cotidiana</t>
        </is>
      </c>
      <c r="AC122" s="3" t="inlineStr">
        <is>
          <t>தினசரி வாழும் இடங்களுக்கு நெருக்கமான தூரம்</t>
        </is>
      </c>
      <c r="AD122" s="3" t="inlineStr">
        <is>
          <t>การ​เดิน​ทาง​ใน​ระยะ​ใกล้​ใน​ชีวิต​ประจำ​วัน</t>
        </is>
      </c>
      <c r="AE122" s="3" t="inlineStr">
        <is>
          <t>Günlük yaşam destinasyonlarına yakın mesafe</t>
        </is>
      </c>
      <c r="AF122" s="3" t="inlineStr">
        <is>
          <t>Недалека відстань до місць повсякденного проживання</t>
        </is>
      </c>
      <c r="AG122" s="3" t="inlineStr">
        <is>
          <t>Khoảng cách gần đến các điểm đến sinh hoạt hàng ngày</t>
        </is>
      </c>
    </row>
    <row r="123" ht="30" customHeight="1">
      <c r="A123" s="15" t="inlineStr">
        <is>
          <t>measures</t>
        </is>
      </c>
      <c r="B123" s="15" t="inlineStr">
        <is>
          <t>Healthy food environments</t>
        </is>
      </c>
      <c r="C123" s="9" t="inlineStr">
        <is>
          <t>Healthy food environments</t>
        </is>
      </c>
      <c r="D123" s="8" t="inlineStr">
        <is>
          <t>البيئات الغذائية الصحية</t>
        </is>
      </c>
      <c r="E123" s="8" t="inlineStr">
        <is>
          <t>Ambients alimentaris saludables</t>
        </is>
      </c>
      <c r="F123" s="9" t="inlineStr">
        <is>
          <t>健康的饮食环境</t>
        </is>
      </c>
      <c r="G123" s="8" t="inlineStr">
        <is>
          <t>健康的飲食環境</t>
        </is>
      </c>
      <c r="H123" s="16" t="inlineStr">
        <is>
          <t>Okruženje zdrave hrane</t>
        </is>
      </c>
      <c r="I123" s="8" t="inlineStr">
        <is>
          <t>Prostředí zdravé výživy</t>
        </is>
      </c>
      <c r="J123" s="16" t="inlineStr">
        <is>
          <t>Sunde madmiljøer</t>
        </is>
      </c>
      <c r="K123" s="16" t="inlineStr">
        <is>
          <t>Gezonde voedselomgevingen</t>
        </is>
      </c>
      <c r="L123" s="8" t="inlineStr">
        <is>
          <t>Terveelliset ruokaympäristöt</t>
        </is>
      </c>
      <c r="M123" s="8" t="inlineStr">
        <is>
          <t>Environnements alimentaires sains</t>
        </is>
      </c>
      <c r="N123" s="8" t="inlineStr">
        <is>
          <t>Gesunde Lebensmittelumgebungen</t>
        </is>
      </c>
      <c r="O123" s="8" t="inlineStr">
        <is>
          <t>Υγιεινά περιβάλλοντα διατροφής</t>
        </is>
      </c>
      <c r="P123" s="8" t="inlineStr">
        <is>
          <t>Lafiyayyen muhallin abinci</t>
        </is>
      </c>
      <c r="Q123" s="8" t="inlineStr">
        <is>
          <t>स्वस्थ भोजन वातावरण</t>
        </is>
      </c>
      <c r="R123" s="8" t="inlineStr">
        <is>
          <t>Lingkungan makanan yang sehat</t>
        </is>
      </c>
      <c r="S123" s="8" t="inlineStr">
        <is>
          <t>Contesti alimentari sani</t>
        </is>
      </c>
      <c r="T123" s="3" t="inlineStr">
        <is>
          <t>健康的な食環境</t>
        </is>
      </c>
      <c r="U123" s="3" t="inlineStr">
        <is>
          <t>건강한 식품 환경</t>
        </is>
      </c>
      <c r="V123" s="3" t="inlineStr">
        <is>
          <t>Te taiao kai hauora</t>
        </is>
      </c>
      <c r="W123" s="3" t="inlineStr">
        <is>
          <t>स्वस्थ खाना वातावरण</t>
        </is>
      </c>
      <c r="X123" s="44" t="inlineStr">
        <is>
          <t>محیط‌های غذایی سالم</t>
        </is>
      </c>
      <c r="Y123" s="3" t="inlineStr">
        <is>
          <t>Ambientes alimentares saudáveis</t>
        </is>
      </c>
      <c r="Z123" s="3" t="inlineStr">
        <is>
          <t>Ambientes alimentares saudáveis</t>
        </is>
      </c>
      <c r="AA123" s="3" t="inlineStr">
        <is>
          <t>Ambientes alimentarios saludables</t>
        </is>
      </c>
      <c r="AB123" s="3" t="inlineStr">
        <is>
          <t>Ambientes alimentarios saludables</t>
        </is>
      </c>
      <c r="AC123" s="3" t="inlineStr">
        <is>
          <t>ஆரோக்கியமான உணவு சூழல்கள்</t>
        </is>
      </c>
      <c r="AD123" s="3" t="inlineStr">
        <is>
          <t>สภาพ​แวด​ล้อม​ด้าน​อาหาร​เพื่อ​สุขภาพ</t>
        </is>
      </c>
      <c r="AE123" s="3" t="inlineStr">
        <is>
          <t>Sağlıklı gıda ortamları</t>
        </is>
      </c>
      <c r="AF123" s="3" t="inlineStr">
        <is>
          <t>Середовище здорового харчування</t>
        </is>
      </c>
      <c r="AG123" s="3" t="inlineStr">
        <is>
          <t>Môi trường thực phẩm lành mạnh</t>
        </is>
      </c>
    </row>
    <row r="124" ht="30" customHeight="1">
      <c r="A124" s="15" t="inlineStr">
        <is>
          <t>measures</t>
        </is>
      </c>
      <c r="B124" s="15" t="inlineStr">
        <is>
          <t>Crime prevention through environmental design</t>
        </is>
      </c>
      <c r="C124" s="9" t="inlineStr">
        <is>
          <t>Crime prevention through environmental design</t>
        </is>
      </c>
      <c r="D124" s="8" t="inlineStr">
        <is>
          <t>منع الجريمة من خلال التصميم البيئي</t>
        </is>
      </c>
      <c r="E124" s="8" t="inlineStr">
        <is>
          <t>Prevenció de la delinqüència mitjançant el disseny ambiental</t>
        </is>
      </c>
      <c r="F124" s="9" t="inlineStr">
        <is>
          <t>预防犯罪的环境设计</t>
        </is>
      </c>
      <c r="G124" s="8" t="inlineStr">
        <is>
          <t>預防犯罪的環境設計</t>
        </is>
      </c>
      <c r="H124" s="16" t="inlineStr">
        <is>
          <t>Prevencija kriminala kroz dizajn okoliša</t>
        </is>
      </c>
      <c r="I124" s="8" t="inlineStr">
        <is>
          <t>Prevence kriminality prostřednictvím environmentálního designu</t>
        </is>
      </c>
      <c r="J124" s="16" t="inlineStr">
        <is>
          <t>Kriminalitetsforebyggelse gennem miljødesign</t>
        </is>
      </c>
      <c r="K124" s="16" t="inlineStr">
        <is>
          <t>Misdaadpreventie door middel van milieuontwerp</t>
        </is>
      </c>
      <c r="L124" s="8" t="inlineStr">
        <is>
          <t>Rikollisuuden ehkäisy kaupunkisuunnittelun avulla</t>
        </is>
      </c>
      <c r="M124" s="8" t="inlineStr">
        <is>
          <t>Prévention du crime grâce à la conception environnementale</t>
        </is>
      </c>
      <c r="N124" s="8" t="inlineStr">
        <is>
          <t>Kriminalitätsverhütung durch Umgebungsgestaltung</t>
        </is>
      </c>
      <c r="O124" s="8" t="inlineStr">
        <is>
          <t>Πρόληψη του εγκλήματος μέσω περιβαλλοντικού σχεδιασμού</t>
        </is>
      </c>
      <c r="P124" s="8" t="inlineStr">
        <is>
          <t>Kariyar laifuka ta hanyar ƙirar muhalli</t>
        </is>
      </c>
      <c r="Q124" s="8" t="inlineStr">
        <is>
          <t>पर्यावरण डिज़ाइन के माध्यम से अपराध की रोकथाम</t>
        </is>
      </c>
      <c r="R124" s="8" t="inlineStr">
        <is>
          <t>Pencegahan kejahatan melalui desain lingkungan</t>
        </is>
      </c>
      <c r="S124" s="8" t="inlineStr">
        <is>
          <t>La prevenzione della criminalità attraverso la progettazione ambientale</t>
        </is>
      </c>
      <c r="T124" s="3" t="inlineStr">
        <is>
          <t>防犯環境設計</t>
        </is>
      </c>
      <c r="U124" s="3" t="inlineStr">
        <is>
          <t>환경디자인을 통한 범죄예방</t>
        </is>
      </c>
      <c r="V124" s="3" t="inlineStr">
        <is>
          <t>Te aukati hara ma te hoahoa taiao</t>
        </is>
      </c>
      <c r="W124" s="3" t="inlineStr">
        <is>
          <t>वातावरणीय डिजाइन मार्फत अपराध रोकथाम</t>
        </is>
      </c>
      <c r="X124" s="44" t="inlineStr">
        <is>
          <t>پیشگیری از جرم از طریق طراحی محیطی</t>
        </is>
      </c>
      <c r="Y124" s="3" t="inlineStr">
        <is>
          <t>Prevenção de crimes por meio do desenho dos ambientes</t>
        </is>
      </c>
      <c r="Z124" s="3" t="inlineStr">
        <is>
          <t>Prevenção do crime através do design ambiental</t>
        </is>
      </c>
      <c r="AA124" s="3" t="inlineStr">
        <is>
          <t>Prevención del delito a través del diseño ambiental</t>
        </is>
      </c>
      <c r="AB124" s="3" t="inlineStr">
        <is>
          <t>Prevención de la delincuencia a través del diseño del entorno</t>
        </is>
      </c>
      <c r="AC124" s="3" t="inlineStr">
        <is>
          <t>சுற்றுச்சூழல் வடிவமைப்பு மூலம் குற்றத் தடுப்பு</t>
        </is>
      </c>
      <c r="AD124" s="3" t="inlineStr">
        <is>
          <t>การ​ป้องกัน​อาชญากรรม​ด้วย​การ​ออก​แบบ​สิ่ง​แวด​ล้อม</t>
        </is>
      </c>
      <c r="AE124" s="3" t="inlineStr">
        <is>
          <t>Çevresel tasarım yoluyla suçun önlenmesi</t>
        </is>
      </c>
      <c r="AF124" s="3" t="inlineStr">
        <is>
          <t>Профілактика злочинності через екологічний дизайн</t>
        </is>
      </c>
      <c r="AG124" s="3" t="inlineStr">
        <is>
          <t>Phòng chống tội phạm thông qua thiết kế môi trường</t>
        </is>
      </c>
    </row>
    <row r="125">
      <c r="A125" s="15" t="inlineStr">
        <is>
          <t>measures</t>
        </is>
      </c>
      <c r="B125" s="15" t="inlineStr">
        <is>
          <t>Employment distribution</t>
        </is>
      </c>
      <c r="C125" s="9" t="inlineStr">
        <is>
          <t>Employment distribution requirements</t>
        </is>
      </c>
      <c r="D125" s="8" t="inlineStr">
        <is>
          <t>متطلبات توزيع العمالة</t>
        </is>
      </c>
      <c r="E125" s="8" t="inlineStr">
        <is>
          <t>Requisits de distribució dels llocs de treball.</t>
        </is>
      </c>
      <c r="F125" s="9" t="inlineStr">
        <is>
          <t>就业分布要求</t>
        </is>
      </c>
      <c r="G125" s="8" t="inlineStr">
        <is>
          <t>就業分佈要求</t>
        </is>
      </c>
      <c r="H125" s="16" t="inlineStr">
        <is>
          <t>Zahtjevi raspodjele zaposlenja</t>
        </is>
      </c>
      <c r="I125" s="8" t="inlineStr">
        <is>
          <t>Požadavky na rozmístění pracovních míst</t>
        </is>
      </c>
      <c r="J125" s="16" t="inlineStr">
        <is>
          <t>Bestemmelser for for fordeling af beskæftigelse</t>
        </is>
      </c>
      <c r="K125" s="16" t="inlineStr">
        <is>
          <t>Vereisten voor spreiding van werkgelegenheid</t>
        </is>
      </c>
      <c r="L125" s="8" t="inlineStr">
        <is>
          <t>Työpaikkojen jakautumista koskevat vaatimukset</t>
        </is>
      </c>
      <c r="M125" s="8" t="inlineStr">
        <is>
          <t>Exigences en matière de répartition de l'emploi</t>
        </is>
      </c>
      <c r="N125" s="8" t="inlineStr">
        <is>
          <t>Anforderungen an die räumliche Verteilung der Beschäftigung</t>
        </is>
      </c>
      <c r="O125" s="8" t="inlineStr">
        <is>
          <t>Απαιτήσεις κατανομής απασχόλησης</t>
        </is>
      </c>
      <c r="P125" s="8" t="inlineStr">
        <is>
          <t>Bukatun rarraba aikin yi</t>
        </is>
      </c>
      <c r="Q125" s="8" t="inlineStr">
        <is>
          <t>रोजगार वितरण आवश्यकताएँ</t>
        </is>
      </c>
      <c r="R125" s="8" t="inlineStr">
        <is>
          <t>Persyaratan distribusi lapangan kerja</t>
        </is>
      </c>
      <c r="S125" s="8" t="inlineStr">
        <is>
          <t>Requisiti di distribuzione dell'occupazione</t>
        </is>
      </c>
      <c r="T125" s="3" t="inlineStr">
        <is>
          <t>雇用の分布に関する要件</t>
        </is>
      </c>
      <c r="U125" s="3" t="inlineStr">
        <is>
          <t>고용 분배 요건</t>
        </is>
      </c>
      <c r="V125" s="3" t="inlineStr">
        <is>
          <t>Ngā whakaritenga mo te wāwāhitanga mahi.</t>
        </is>
      </c>
      <c r="W125" s="3" t="inlineStr">
        <is>
          <t>रोजगारी वितरण आवश्यकताहरू</t>
        </is>
      </c>
      <c r="X125" s="44" t="inlineStr">
        <is>
          <t>الزامات توزیع اشتغال</t>
        </is>
      </c>
      <c r="Y125" s="3" t="inlineStr">
        <is>
          <t>Requisitos de distribuição espacial dos empregos</t>
        </is>
      </c>
      <c r="Z125" s="3" t="inlineStr">
        <is>
          <t>Requisitos de distribuição de emprego</t>
        </is>
      </c>
      <c r="AA125" s="3" t="inlineStr">
        <is>
          <t>Requisitos de distribución del empleo</t>
        </is>
      </c>
      <c r="AB125" s="3" t="inlineStr">
        <is>
          <t>Requisitos de distribución de los lugares de trabajo</t>
        </is>
      </c>
      <c r="AC125" s="3" t="inlineStr">
        <is>
          <t>வேலைவாய்ப்பு விநியோகதேவைகள்</t>
        </is>
      </c>
      <c r="AD125" s="3" t="inlineStr">
        <is>
          <t>ข้อ​กำหนด​ของ​การ​กระจาย​การ​จ้าง​งาน</t>
        </is>
      </c>
      <c r="AE125" s="3" t="inlineStr">
        <is>
          <t>İstihdam dağılım gereklilikleri</t>
        </is>
      </c>
      <c r="AF125" s="3" t="inlineStr">
        <is>
          <t>Вимоги до розподілу на роботу</t>
        </is>
      </c>
      <c r="AG125" s="3" t="inlineStr">
        <is>
          <t>Các yêu cầu phân phối việc làm</t>
        </is>
      </c>
    </row>
    <row r="126" ht="30" customHeight="1">
      <c r="A126" s="15" t="inlineStr">
        <is>
          <t>measures</t>
        </is>
      </c>
      <c r="B126" s="15" t="inlineStr">
        <is>
          <t>Ratio of jobs to housing</t>
        </is>
      </c>
      <c r="C126" s="9" t="inlineStr">
        <is>
          <t>Ratio of jobs to housing</t>
        </is>
      </c>
      <c r="D126" s="8" t="inlineStr">
        <is>
          <t>نسبة الوظائف إلى السكن</t>
        </is>
      </c>
      <c r="E126" s="8" t="inlineStr">
        <is>
          <t>Relació entre llocs de treball i habitatge</t>
        </is>
      </c>
      <c r="F126" s="9" t="inlineStr">
        <is>
          <t>就业与住房比率</t>
        </is>
      </c>
      <c r="G126" s="8" t="inlineStr">
        <is>
          <t>就業與住房比率</t>
        </is>
      </c>
      <c r="H126" s="16" t="inlineStr">
        <is>
          <t>Omjer radnih mjesta i stambenog prostora</t>
        </is>
      </c>
      <c r="I126" s="8" t="inlineStr">
        <is>
          <t>Poměr pracovních míst k bydlení</t>
        </is>
      </c>
      <c r="J126" s="16" t="inlineStr">
        <is>
          <t>Forholdet mellem job og bolig</t>
        </is>
      </c>
      <c r="K126" s="16" t="inlineStr">
        <is>
          <t>Verhouding tussen banen en woningen</t>
        </is>
      </c>
      <c r="L126" s="8" t="inlineStr">
        <is>
          <t>Työpaikkojen ja asumisen välinen suhdeluku</t>
        </is>
      </c>
      <c r="M126" s="8" t="inlineStr">
        <is>
          <t>Ratio emplois/logements</t>
        </is>
      </c>
      <c r="N126" s="8" t="inlineStr">
        <is>
          <t>Verhältnis von Arbeitsplätzen zu Wohnraum</t>
        </is>
      </c>
      <c r="O126" s="8" t="inlineStr">
        <is>
          <t>Αναλογία θέσεων εργασίας προς στέγαση</t>
        </is>
      </c>
      <c r="P126" s="8" t="inlineStr">
        <is>
          <t>Ratio na ayyuka zuwa gidaje</t>
        </is>
      </c>
      <c r="Q126" s="8" t="inlineStr">
        <is>
          <t>आवास के लिए नौकरियों का अनुपात</t>
        </is>
      </c>
      <c r="R126" s="8" t="inlineStr">
        <is>
          <t>Rasio pekerjaan terhadap perumahan</t>
        </is>
      </c>
      <c r="S126" s="8" t="inlineStr">
        <is>
          <t>Rapporto tra posti di lavoro e abitazioni</t>
        </is>
      </c>
      <c r="T126" s="3" t="inlineStr">
        <is>
          <t>雇用と住居の比率</t>
        </is>
      </c>
      <c r="U126" s="3" t="inlineStr">
        <is>
          <t>일자리와 주택의 비율</t>
        </is>
      </c>
      <c r="V126" s="3" t="inlineStr">
        <is>
          <t>Te ōwehenga o ngā mahi ki te whare</t>
        </is>
      </c>
      <c r="W126" s="3" t="inlineStr">
        <is>
          <t>रोजगारी र आवासको अनुपात</t>
        </is>
      </c>
      <c r="X126" s="44" t="inlineStr">
        <is>
          <t>نسبت شغل به مسکن</t>
        </is>
      </c>
      <c r="Y126" s="3" t="inlineStr">
        <is>
          <t>Proporção entre empregos e residências</t>
        </is>
      </c>
      <c r="Z126" s="3" t="inlineStr">
        <is>
          <t>Proporção entre empregos e habitação</t>
        </is>
      </c>
      <c r="AA126" s="3" t="inlineStr">
        <is>
          <t>Proporción de empleos y viviendas</t>
        </is>
      </c>
      <c r="AB126" s="3" t="inlineStr">
        <is>
          <t>Ratio entre empleo y vivienda</t>
        </is>
      </c>
      <c r="AC126" s="3" t="inlineStr">
        <is>
          <t>வீட்டு வேலைகளின் விகிதம்</t>
        </is>
      </c>
      <c r="AD126" s="3" t="inlineStr">
        <is>
          <t>อัตรา​ส่วน​ของ​งาน​ต่อ​ที่​อยู่​อาศัย</t>
        </is>
      </c>
      <c r="AE126" s="3" t="inlineStr">
        <is>
          <t>İşlerin konutlara oranı</t>
        </is>
      </c>
      <c r="AF126" s="3" t="inlineStr">
        <is>
          <t>Співвідношення робочих місць і житла</t>
        </is>
      </c>
      <c r="AG126" s="3" t="inlineStr">
        <is>
          <t>Tỷ lệ việc làm trên nhà ở</t>
        </is>
      </c>
    </row>
    <row r="127" ht="30" customHeight="1">
      <c r="A127" s="15" t="inlineStr">
        <is>
          <t>policy</t>
        </is>
      </c>
      <c r="B127" s="15" t="inlineStr">
        <is>
          <t>Public transport policies</t>
        </is>
      </c>
      <c r="C127" s="9" t="inlineStr">
        <is>
          <t>Public transport policy</t>
        </is>
      </c>
      <c r="D127" s="18" t="inlineStr">
        <is>
          <t>سياسة النقل العام</t>
        </is>
      </c>
      <c r="E127" s="18" t="inlineStr">
        <is>
          <t>Política de transport públic</t>
        </is>
      </c>
      <c r="F127" s="9" t="inlineStr">
        <is>
          <t>公共交通政策</t>
        </is>
      </c>
      <c r="G127" s="8" t="inlineStr">
        <is>
          <t>大眾運輸政策</t>
        </is>
      </c>
      <c r="H127" s="16" t="inlineStr">
        <is>
          <t>Politika javnog prijevoza</t>
        </is>
      </c>
      <c r="I127" s="8" t="inlineStr">
        <is>
          <t>Politika veřejné dopravy</t>
        </is>
      </c>
      <c r="J127" s="16" t="inlineStr">
        <is>
          <t>Offentlig transportpolitik</t>
        </is>
      </c>
      <c r="K127" s="16" t="inlineStr">
        <is>
          <t>Openbaar vervoersbeleid</t>
        </is>
      </c>
      <c r="L127" s="8" t="inlineStr">
        <is>
          <t>Joukkoliikenteen politiikkadokumentit tai muut yksittäiset poliittiset ohjauskeinot</t>
        </is>
      </c>
      <c r="M127" s="8" t="inlineStr">
        <is>
          <t>Politique des transports publics</t>
        </is>
      </c>
      <c r="N127" s="8" t="inlineStr">
        <is>
          <t>ÖPNV-Politik</t>
        </is>
      </c>
      <c r="O127" s="8" t="inlineStr">
        <is>
          <t>Πολιτική για τις δημόσιες συγκοινωνίες</t>
        </is>
      </c>
      <c r="P127" s="8" t="inlineStr">
        <is>
          <t>Manufar safarar jama'a</t>
        </is>
      </c>
      <c r="Q127" s="8" t="inlineStr">
        <is>
          <t>सार्वजनिक परिवहन नीति</t>
        </is>
      </c>
      <c r="R127" s="8" t="inlineStr">
        <is>
          <t>Kebijakan transportasi umum</t>
        </is>
      </c>
      <c r="S127" s="8" t="inlineStr">
        <is>
          <t>La politica dei trasporti pubblici</t>
        </is>
      </c>
      <c r="T127" s="3" t="inlineStr">
        <is>
          <t>公共交通政策</t>
        </is>
      </c>
      <c r="U127" s="3" t="inlineStr">
        <is>
          <t>대중교통 정책</t>
        </is>
      </c>
      <c r="V127" s="3" t="inlineStr">
        <is>
          <t>Kaupapa here waka tūmatanui</t>
        </is>
      </c>
      <c r="W127" s="3" t="inlineStr">
        <is>
          <t>सार्वजनिक यातायात नीति</t>
        </is>
      </c>
      <c r="X127" s="44" t="inlineStr">
        <is>
          <t>سیاست حمل‌ونقل عمومی</t>
        </is>
      </c>
      <c r="Y127" s="3" t="inlineStr">
        <is>
          <t>Política de transporte público</t>
        </is>
      </c>
      <c r="Z127" s="3" t="inlineStr">
        <is>
          <t>Política de transporte público</t>
        </is>
      </c>
      <c r="AA127" s="3" t="inlineStr">
        <is>
          <t>Políticas de transporte público</t>
        </is>
      </c>
      <c r="AB127" s="3" t="inlineStr">
        <is>
          <t>Política de transporte público</t>
        </is>
      </c>
      <c r="AC127" s="3" t="inlineStr">
        <is>
          <t>பொது போக்குவரத்து கொள்கை</t>
        </is>
      </c>
      <c r="AD127" s="3" t="inlineStr">
        <is>
          <t>นโยบาย​การ​ขน​ส่ง​สาธารณะ</t>
        </is>
      </c>
      <c r="AE127" s="3" t="inlineStr">
        <is>
          <t>Toplu taşıma politikası</t>
        </is>
      </c>
      <c r="AF127" s="3" t="inlineStr">
        <is>
          <t>Політика громадського транспорту</t>
        </is>
      </c>
      <c r="AG127" s="3" t="inlineStr">
        <is>
          <t>Chính sách giao thông công cộng</t>
        </is>
      </c>
    </row>
    <row r="128">
      <c r="A128" s="15" t="inlineStr">
        <is>
          <t>measures</t>
        </is>
      </c>
      <c r="B128" s="15" t="inlineStr">
        <is>
          <t>Access to employment and services via public transport</t>
        </is>
      </c>
      <c r="C128" s="9" t="inlineStr">
        <is>
          <t>Requirements for public transport access to employment and services</t>
        </is>
      </c>
      <c r="D128" s="18" t="inlineStr">
        <is>
          <t>متطلبات وسائل النقل العام للوصول إلى فرص العمل والخدمات</t>
        </is>
      </c>
      <c r="E128" s="18" t="inlineStr">
        <is>
          <t>Requisits per a l'accés en transport públic a llocs de treball i a serveis.</t>
        </is>
      </c>
      <c r="F128" s="9" t="inlineStr">
        <is>
          <t>交通网络与就业和服务设施连接性的要求</t>
        </is>
      </c>
      <c r="G128" s="8" t="inlineStr">
        <is>
          <t>交通網絡與就業和服務設施連接性的要求</t>
        </is>
      </c>
      <c r="H128" s="16" t="inlineStr">
        <is>
          <t>Zahtjevi za pristup javnom prijevozu zapošljavanju i uslugama</t>
        </is>
      </c>
      <c r="I128" s="8" t="inlineStr">
        <is>
          <t>Požadavky na dostupnost zaměstnání a služeb prostřednictvím veřejné dopravy</t>
        </is>
      </c>
      <c r="J128" s="16" t="inlineStr">
        <is>
          <t>Bestemmelser for offentlig transport i relation til beskæftigelse og serviceydelser</t>
        </is>
      </c>
      <c r="K128" s="16" t="inlineStr">
        <is>
          <t>Vereisten voor toegang tot het openbaar vervoer om zich naar het werk of andere diensten te verplaatsen</t>
        </is>
      </c>
      <c r="L128" s="8" t="inlineStr">
        <is>
          <t xml:space="preserve">Edellytykset työpaikkojen ja palveluiden joukkoliikennesaavutettavuudesta </t>
        </is>
      </c>
      <c r="M128" s="8" t="inlineStr">
        <is>
          <t>Conditions d'accès des transports publics à l'emploi et aux services</t>
        </is>
      </c>
      <c r="N128" s="8" t="inlineStr">
        <is>
          <t>Anforderungen an den Zugang öffentlicher Verkehrsmittel zu Beschäftigung und Dienstleistungen</t>
        </is>
      </c>
      <c r="O128" s="8" t="inlineStr">
        <is>
          <t>Απαιτήσεις για πρόσβαση των δημόσιων συγκοινωνιών σε απασχόληση και υπηρεσίες</t>
        </is>
      </c>
      <c r="P128" s="8" t="inlineStr">
        <is>
          <t>Bukatun don samun damar sufurin jama'a don samun aikin yi da ayyuka</t>
        </is>
      </c>
      <c r="Q128" s="8" t="inlineStr">
        <is>
          <t>रोजगार और सेवाओं तक सार्वजनिक परिवहन पहुंच के लिए आवश्यकताएँ</t>
        </is>
      </c>
      <c r="R128" s="8" t="inlineStr">
        <is>
          <t>Persyaratan akses angkutan umum terhadap pekerjaan dan layanan</t>
        </is>
      </c>
      <c r="S128" s="8" t="inlineStr">
        <is>
          <t>Requisiti relativi all'accesso al posto di lavoro e ai servizi tramite il trasporto pubblico</t>
        </is>
      </c>
      <c r="T128" s="3" t="inlineStr">
        <is>
          <t>雇用およびサービスへの公共交通アクセスの要件</t>
        </is>
      </c>
      <c r="U128" s="3" t="inlineStr">
        <is>
          <t>직장 및 서비스에 대한 대중교통 접근성 요건</t>
        </is>
      </c>
      <c r="V128" s="3" t="inlineStr">
        <is>
          <t>Ngā whakaritenga mo te urunga atu ki ngā waka tāone ki te mahi ki rō hāpori rānei.</t>
        </is>
      </c>
      <c r="W128" s="3" t="inlineStr">
        <is>
          <t>रोजगारी र सेवाहरूमा सार्वजनिक यातायात पहुँचका लागि आवश्यकताहरू</t>
        </is>
      </c>
      <c r="X128" s="44" t="inlineStr">
        <is>
          <t xml:space="preserve">الزامات دسترسی به حمل‌ونقل عمومی برای اشتغال و خدمات
</t>
        </is>
      </c>
      <c r="Y128" s="3" t="inlineStr">
        <is>
          <t>Requisitos para o acesso por transporte público aos empregos e serviços</t>
        </is>
      </c>
      <c r="Z128" s="3" t="inlineStr">
        <is>
          <t>Requisitos para o acesso dos transportes públicos ao emprego e aos serviços</t>
        </is>
      </c>
      <c r="AA128" s="3" t="inlineStr">
        <is>
          <t>Requisitos para el acceso del transporte público al empleo y a los servicios</t>
        </is>
      </c>
      <c r="AB128" s="3" t="inlineStr">
        <is>
          <t>Requisitos para el acceso en transporte público a lugares de trabajo y servicios</t>
        </is>
      </c>
      <c r="AC128" s="3" t="inlineStr">
        <is>
          <t>வேலைவாய்ப்பு மற்றும் சேவைகளுக்கான பொது போக்குவரத்து அணுகலுக்கான தேவைகள்</t>
        </is>
      </c>
      <c r="AD128" s="3" t="inlineStr">
        <is>
          <t xml:space="preserve">ข้อ​กำหนด​สำหรับ​การ​เข้า​ถึง​การ​ขน​ส่ง​สาธารณะ​เพื่อ​การ​ทำ​งาน​และ​บริการ​ต่างๆ </t>
        </is>
      </c>
      <c r="AE128" s="3" t="inlineStr">
        <is>
          <t>İstihdam ve hizmetlere toplu taşıma erişimi için gereklilikler</t>
        </is>
      </c>
      <c r="AF128" s="3" t="inlineStr">
        <is>
          <t>Вимоги до доступу громадського транспорту до роботи та послуг</t>
        </is>
      </c>
      <c r="AG128" s="3" t="inlineStr">
        <is>
          <t>Các yêu cầu về tiếp cận giao thông công cộng cho việc làm và dịch vụ</t>
        </is>
      </c>
    </row>
    <row r="129" ht="30" customHeight="1">
      <c r="A129" s="15" t="inlineStr">
        <is>
          <t>measures</t>
        </is>
      </c>
      <c r="B129" s="15" t="inlineStr">
        <is>
          <t>Public transport access</t>
        </is>
      </c>
      <c r="C129" s="9" t="inlineStr">
        <is>
          <t>Minimum requirements for public transport access</t>
        </is>
      </c>
      <c r="D129" s="18" t="inlineStr">
        <is>
          <t>الحد الأدنى من متطلبات الوصول إلى وسائل النقل العام</t>
        </is>
      </c>
      <c r="E129" s="18" t="inlineStr">
        <is>
          <t>Requisits mínims per a l'accés al transport públic.</t>
        </is>
      </c>
      <c r="F129" s="9" t="inlineStr">
        <is>
          <t>公共交通便利性的最低要求</t>
        </is>
      </c>
      <c r="G129" s="8" t="inlineStr">
        <is>
          <t>公共交通可達性的最低要求</t>
        </is>
      </c>
      <c r="H129" s="16" t="inlineStr">
        <is>
          <t>Minimalni zahtjevi za pristup javnom prijevozu</t>
        </is>
      </c>
      <c r="I129" s="8" t="inlineStr">
        <is>
          <t>Minimální požadavky na dostupnost veřejné dopravy</t>
        </is>
      </c>
      <c r="J129" s="16" t="inlineStr">
        <is>
          <t>Minimumskrav for adgang til offentlig transport</t>
        </is>
      </c>
      <c r="K129" s="16" t="inlineStr">
        <is>
          <t>Minimumvereisten voor toegankelijkheid van het openbaar vervoer</t>
        </is>
      </c>
      <c r="L129" s="8" t="inlineStr">
        <is>
          <t>Vähimmäisvaatimukset joukkoliikenteen saavutettavuudesta</t>
        </is>
      </c>
      <c r="M129" s="8" t="inlineStr">
        <is>
          <t>Exigences minimales pour l'accès aux transports publics</t>
        </is>
      </c>
      <c r="N129" s="8" t="inlineStr">
        <is>
          <t>Mindestanforderungen an den Zugang zu öffentlichen Verkehrsmitteln</t>
        </is>
      </c>
      <c r="O129" s="8" t="inlineStr">
        <is>
          <t>Ελάχιστες απαιτήσεις για πρόσβαση στα μέσα μαζικής μεταφοράς</t>
        </is>
      </c>
      <c r="P129" s="8" t="inlineStr">
        <is>
          <t>Mafi ƙarancin buƙatun don isa ga jigilar jama'a</t>
        </is>
      </c>
      <c r="Q129" s="8" t="inlineStr">
        <is>
          <t>सार्वजनिक परिवहन पहुंच के लिए न्यूनतम आवश्यकताएँ</t>
        </is>
      </c>
      <c r="R129" s="8" t="inlineStr">
        <is>
          <t>Persyaratan minimum untuk akses transportasi umum</t>
        </is>
      </c>
      <c r="S129" s="8" t="inlineStr">
        <is>
          <t>Requisiti minimi per l'accesso ai trasporti pubblici</t>
        </is>
      </c>
      <c r="T129" s="3" t="inlineStr">
        <is>
          <t>公共交通アクセスの最小要件</t>
        </is>
      </c>
      <c r="U129" s="3" t="inlineStr">
        <is>
          <t>대중교통 접근성을 위한 최소 요구사항</t>
        </is>
      </c>
      <c r="V129" s="3" t="inlineStr">
        <is>
          <t>Ngā whakaritenga mo te urunga atu ki ngā waka tāone.</t>
        </is>
      </c>
      <c r="W129" s="3" t="inlineStr">
        <is>
          <t>सार्वजनिक यातायात पहुँचको लागि न्यूनतम आवश्यकताहरू</t>
        </is>
      </c>
      <c r="X129" s="44" t="inlineStr">
        <is>
          <t xml:space="preserve">حداقل الزامات برای دسترسی به حمل‌ونقل عمومی
</t>
        </is>
      </c>
      <c r="Y129" s="3" t="inlineStr">
        <is>
          <t>Requisitos mínimos para acesso aos transportes públicos</t>
        </is>
      </c>
      <c r="Z129" s="3" t="inlineStr">
        <is>
          <t>Requisitos mínimos para o acesso aos transportes públicos</t>
        </is>
      </c>
      <c r="AA129" s="3" t="inlineStr">
        <is>
          <t>Requisitos mínimos para el acceso al transporte público</t>
        </is>
      </c>
      <c r="AB129" s="3" t="inlineStr">
        <is>
          <t>Requisitos mínimos para el acceso al transporte público</t>
        </is>
      </c>
      <c r="AC129" s="3" t="inlineStr">
        <is>
          <t>பொது போக்குவரத்து அணுகலுக்கான குறைந்தபட்ச தேவைகள்</t>
        </is>
      </c>
      <c r="AD129" s="3" t="inlineStr">
        <is>
          <t>ข้อ​กำหนด​ขั้น​ต่ำ​สำหรับ​การ​เข้า​ถึง​การ​ขน​ส่ง​สาธารณะ</t>
        </is>
      </c>
      <c r="AE129" s="3" t="inlineStr">
        <is>
          <t>Toplu taşıma erişimi için asgari gereklilikler</t>
        </is>
      </c>
      <c r="AF129" s="3" t="inlineStr">
        <is>
          <t>Мінімальні вимоги до доступу громадського транспорту</t>
        </is>
      </c>
      <c r="AG129" s="3" t="inlineStr">
        <is>
          <t>Các yêu cầu tối thiểu về tiếp cận giao thông công cộng</t>
        </is>
      </c>
    </row>
    <row r="130" ht="60" customHeight="1">
      <c r="A130" s="15" t="inlineStr">
        <is>
          <t>measures</t>
        </is>
      </c>
      <c r="B130" s="15" t="inlineStr">
        <is>
          <t>Public transport use</t>
        </is>
      </c>
      <c r="C130" s="9" t="inlineStr">
        <is>
          <t>Targets for public transport use</t>
        </is>
      </c>
      <c r="D130" s="8" t="inlineStr">
        <is>
          <t>أهداف لاستخدام وسائل النقل العام</t>
        </is>
      </c>
      <c r="E130" s="8" t="inlineStr">
        <is>
          <t>Objectius per a l'ús del transport públic</t>
        </is>
      </c>
      <c r="F130" s="9" t="inlineStr">
        <is>
          <t>制定公共交通使用量目标</t>
        </is>
      </c>
      <c r="G130" s="8" t="inlineStr">
        <is>
          <t>訂立公共交通使用量目標</t>
        </is>
      </c>
      <c r="H130" s="16" t="inlineStr">
        <is>
          <t>Ciljevi za korištenje javnog prijevoza</t>
        </is>
      </c>
      <c r="I130" s="8" t="inlineStr">
        <is>
          <t>Cíle pro využívání veřejné dopravy</t>
        </is>
      </c>
      <c r="J130" s="16" t="inlineStr">
        <is>
          <t>Formulerede måltal for brug af offentlig transport</t>
        </is>
      </c>
      <c r="K130" s="16" t="inlineStr">
        <is>
          <t>Doelstellingen voor het gebruik van openbaar vervoer</t>
        </is>
      </c>
      <c r="L130" s="8" t="inlineStr">
        <is>
          <t>Joukkoliikenteen kasvun tavoitteet</t>
        </is>
      </c>
      <c r="M130" s="8" t="inlineStr">
        <is>
          <t>Objectifs d'utilisation des transports publics</t>
        </is>
      </c>
      <c r="N130" s="8" t="inlineStr">
        <is>
          <t>Ziele für die Nutzung öffentlicher Verkehrsmittel</t>
        </is>
      </c>
      <c r="O130" s="8" t="inlineStr">
        <is>
          <t>Στόχοι για χρήση στα μέσα μαζικής μεταφοράς</t>
        </is>
      </c>
      <c r="P130" s="8" t="inlineStr">
        <is>
          <t>Manufa don amfani da jigilar jama'a</t>
        </is>
      </c>
      <c r="Q130" s="8" t="inlineStr">
        <is>
          <t>सार्वजनिक परिवहन उपयोग के लिए लक्ष्य</t>
        </is>
      </c>
      <c r="R130" s="8" t="inlineStr">
        <is>
          <t>Target penggunaan angkutan umum</t>
        </is>
      </c>
      <c r="S130" s="8" t="inlineStr">
        <is>
          <t>Obiettivi relativi all'utilizzo del trasporto pubblico</t>
        </is>
      </c>
      <c r="T130" s="3" t="inlineStr">
        <is>
          <t>公共交通利用の目標値</t>
        </is>
      </c>
      <c r="U130" s="3" t="inlineStr">
        <is>
          <t>대중교통 이용 목표</t>
        </is>
      </c>
      <c r="V130" s="3" t="inlineStr">
        <is>
          <t>Ngā ūnga mo te whakamahinga waka tāone.</t>
        </is>
      </c>
      <c r="W130" s="3" t="inlineStr">
        <is>
          <t>सार्वजनिक यातायात प्रयोगको लागि लक्ष्य</t>
        </is>
      </c>
      <c r="X130" s="44" t="inlineStr">
        <is>
          <t>اهداف استفاده از حمل‌ونقل عمومی</t>
        </is>
      </c>
      <c r="Y130" s="3" t="inlineStr">
        <is>
          <t>Metas para o uso dos transportes públicos</t>
        </is>
      </c>
      <c r="Z130" s="3" t="inlineStr">
        <is>
          <t>Metas para a utilização dos transportes públicos</t>
        </is>
      </c>
      <c r="AA130" s="3" t="inlineStr">
        <is>
          <t>Objetivos para el uso del transporte público</t>
        </is>
      </c>
      <c r="AB130" s="3" t="inlineStr">
        <is>
          <t>Objetivos para el uso del transporte público</t>
        </is>
      </c>
      <c r="AC130" s="3" t="inlineStr">
        <is>
          <t>பொதுப் போக்குவரத்து பயன்பாட்டிற்கான இலக்குகள்</t>
        </is>
      </c>
      <c r="AD130" s="3" t="inlineStr">
        <is>
          <t>เป้าหมาย​การ​ใช้​การ​ขน​ส่ง​สาธารณะ</t>
        </is>
      </c>
      <c r="AE130" s="3" t="inlineStr">
        <is>
          <t>Toplu taşıma kullanımına yönelik hedefler</t>
        </is>
      </c>
      <c r="AF130" s="3" t="inlineStr">
        <is>
          <t>Цілі використання громадського транспорту</t>
        </is>
      </c>
      <c r="AG130" s="3" t="inlineStr">
        <is>
          <t>Các mục tiêu về sử dụng phương tiện giao thông công cộng</t>
        </is>
      </c>
    </row>
    <row r="131" ht="30" customHeight="1">
      <c r="A131" s="15" t="inlineStr">
        <is>
          <t>policy</t>
        </is>
      </c>
      <c r="B131" s="15" t="inlineStr">
        <is>
          <t>Public open space policies</t>
        </is>
      </c>
      <c r="C131" s="9" t="inlineStr">
        <is>
          <t>Public open space policy</t>
        </is>
      </c>
      <c r="D131" s="8" t="inlineStr">
        <is>
          <t>سياسة الفضاء العام المفتوح</t>
        </is>
      </c>
      <c r="E131" s="8" t="inlineStr">
        <is>
          <t>Política d'espais oberts públics</t>
        </is>
      </c>
      <c r="F131" s="9" t="inlineStr">
        <is>
          <t>公共开放空间政策</t>
        </is>
      </c>
      <c r="G131" s="8" t="inlineStr">
        <is>
          <t>公共開放空間政策</t>
        </is>
      </c>
      <c r="H131" s="16" t="inlineStr">
        <is>
          <t>Politika javnog otvorenog prostora</t>
        </is>
      </c>
      <c r="I131" s="8" t="inlineStr">
        <is>
          <t>Politika veřejného otevřeného prostoru</t>
        </is>
      </c>
      <c r="J131" s="16" t="inlineStr">
        <is>
          <t>Offentlig frirumspolitik</t>
        </is>
      </c>
      <c r="K131" s="16" t="inlineStr">
        <is>
          <t>Beleid voor de openbare ruimte</t>
        </is>
      </c>
      <c r="L131" s="8" t="inlineStr">
        <is>
          <t>Julkisen avoimen tilan politiikkadokumentit tai muut yksittäiset poliittiset ohjauskeinot</t>
        </is>
      </c>
      <c r="M131" s="8" t="inlineStr">
        <is>
          <t>Politique des espaces publics ouverts</t>
        </is>
      </c>
      <c r="N131" s="8" t="inlineStr">
        <is>
          <t>Öffentliche Freiraumpolitik</t>
        </is>
      </c>
      <c r="O131" s="8" t="inlineStr">
        <is>
          <t>Πολιτική του δημόσιου ανοιχτού χώρου</t>
        </is>
      </c>
      <c r="P131" s="8" t="inlineStr">
        <is>
          <t>Manufar bude sararin samaniya</t>
        </is>
      </c>
      <c r="Q131" s="8" t="inlineStr">
        <is>
          <t>सार्वजनिक खुली जगह नीति</t>
        </is>
      </c>
      <c r="R131" s="8" t="inlineStr">
        <is>
          <t>Kebijakan ruang terbuka publik</t>
        </is>
      </c>
      <c r="S131" s="8" t="inlineStr">
        <is>
          <t>Politica relativa agli spazi pubblici aperti</t>
        </is>
      </c>
      <c r="T131" s="3" t="inlineStr">
        <is>
          <t>公的オープンスペース政策</t>
        </is>
      </c>
      <c r="U131" s="3" t="inlineStr">
        <is>
          <t>공공 야외 공간 정책</t>
        </is>
      </c>
      <c r="V131" s="3" t="inlineStr">
        <is>
          <t>Kaupapa here mo nga waahi tuwhera mo te iwi</t>
        </is>
      </c>
      <c r="W131" s="3" t="inlineStr">
        <is>
          <t>सार्वजनिक खुला ठाउँ नीति</t>
        </is>
      </c>
      <c r="X131" s="44" t="inlineStr">
        <is>
          <t>سیاست فضای باز عمومی</t>
        </is>
      </c>
      <c r="Y131" s="3" t="inlineStr">
        <is>
          <t>Política de espaços públicos abertos</t>
        </is>
      </c>
      <c r="Z131" s="3" t="inlineStr">
        <is>
          <t>Política de espaço público aberto</t>
        </is>
      </c>
      <c r="AA131" s="3" t="inlineStr">
        <is>
          <t>Políticas de espacios públicos abiertos</t>
        </is>
      </c>
      <c r="AB131" s="3" t="inlineStr">
        <is>
          <t>Política de espacios públicos abiertos</t>
        </is>
      </c>
      <c r="AC131" s="3" t="inlineStr">
        <is>
          <t>பொது திறந்தவெளி கொள்கை</t>
        </is>
      </c>
      <c r="AD131" s="3" t="inlineStr">
        <is>
          <t>นโยบาย​พื้นที่​เปิด​โล่ง​สาธารณะ</t>
        </is>
      </c>
      <c r="AE131" s="3" t="inlineStr">
        <is>
          <t>Kamusal açık alan politikası</t>
        </is>
      </c>
      <c r="AF131" s="3" t="inlineStr">
        <is>
          <t>Політика відкритого громадського простору</t>
        </is>
      </c>
      <c r="AG131" s="3" t="inlineStr">
        <is>
          <t>Chính sách không gian mở công cộng</t>
        </is>
      </c>
    </row>
    <row r="132" ht="30" customHeight="1">
      <c r="A132" s="15" t="inlineStr">
        <is>
          <t>measures</t>
        </is>
      </c>
      <c r="B132" s="15" t="inlineStr">
        <is>
          <t>Public open space access</t>
        </is>
      </c>
      <c r="C132" s="9" t="inlineStr">
        <is>
          <t>Minimum requirements for public open space access</t>
        </is>
      </c>
      <c r="D132" s="8" t="inlineStr">
        <is>
          <t>الحد الأدنى من المتطلبات للوصول إلى الأماكن العامة المفتوحة</t>
        </is>
      </c>
      <c r="E132" s="8" t="inlineStr">
        <is>
          <t>Requisits mínims per a l'accés a espais públics oberts.</t>
        </is>
      </c>
      <c r="F132" s="9" t="inlineStr">
        <is>
          <t>公共开放空间可达性性的最低要求</t>
        </is>
      </c>
      <c r="G132" s="8" t="inlineStr">
        <is>
          <t>公共開放空間可達性的最低要求</t>
        </is>
      </c>
      <c r="H132" s="16" t="inlineStr">
        <is>
          <t>Minimalni zahtjevi za pristup javnom otvorenom prostoru</t>
        </is>
      </c>
      <c r="I132" s="8" t="inlineStr">
        <is>
          <t>Minimální požadavky na dostupnost veřejného prostranství</t>
        </is>
      </c>
      <c r="J132" s="16" t="inlineStr">
        <is>
          <t>Minimumskrav for adgang til offentlig åbne rum</t>
        </is>
      </c>
      <c r="K132" s="16" t="inlineStr">
        <is>
          <t>Minimumvereisten voor toegankelijkheid van publieke open ruimte</t>
        </is>
      </c>
      <c r="L132" s="8" t="inlineStr">
        <is>
          <t>Vähimmäisvaatimukset julkisen avoimen tilan saaavutettavuudesta</t>
        </is>
      </c>
      <c r="M132" s="8" t="inlineStr">
        <is>
          <t>Exigences minimales pour l'accès aux espaces publics ouverts</t>
        </is>
      </c>
      <c r="N132" s="8" t="inlineStr">
        <is>
          <t>Mindestanforderungen an den Zugang zu öffentlichem Freiraum</t>
        </is>
      </c>
      <c r="O132" s="8" t="inlineStr">
        <is>
          <t>Ελάχιστες απαιτήσεις για πρόσβαση σε δημόσιους ανοιχτούς χώρους</t>
        </is>
      </c>
      <c r="P132" s="8" t="inlineStr">
        <is>
          <t>Mafi ƙarancin buƙatun don shiga sararin samaniya na jama'a</t>
        </is>
      </c>
      <c r="Q132" s="8" t="inlineStr">
        <is>
          <t>सार्वजनिक खुले स्थान तक पहुँच के लिए न्यूनतम आवश्यकताएँ</t>
        </is>
      </c>
      <c r="R132" s="8" t="inlineStr">
        <is>
          <t>Persyaratan minimal akses ruang terbuka publik</t>
        </is>
      </c>
      <c r="S132" s="8" t="inlineStr">
        <is>
          <t>Requisiti minimi per l'accesso agli spazi pubblici aperti</t>
        </is>
      </c>
      <c r="T132" s="3" t="inlineStr">
        <is>
          <t>公的オープンスペースへのアクセスの最小要件</t>
        </is>
      </c>
      <c r="U132" s="3" t="inlineStr">
        <is>
          <t>공공 야외 공간 접근을 위한 최소 요구사항</t>
        </is>
      </c>
      <c r="V132" s="3" t="inlineStr">
        <is>
          <t>Ngā whakaritenga mo ngā wāhi tūwhera.</t>
        </is>
      </c>
      <c r="W132" s="3" t="inlineStr">
        <is>
          <t>सार्वजनिक खुला स्थान पहुँचको लागि न्यूनतम आवश्यकताहरू</t>
        </is>
      </c>
      <c r="X132" s="44" t="inlineStr">
        <is>
          <t>حداقل الزامات برای دسترسی به فضای باز عمومی</t>
        </is>
      </c>
      <c r="Y132" s="3" t="inlineStr">
        <is>
          <t>Requisitos mínimos para acesso a espaços públicos abertos</t>
        </is>
      </c>
      <c r="Z132" s="3" t="inlineStr">
        <is>
          <t>Requisitos mínimos para acesso público a espaços abertos</t>
        </is>
      </c>
      <c r="AA132" s="3" t="inlineStr">
        <is>
          <t>Requisitos mínimos para el acceso al espacio público abierto</t>
        </is>
      </c>
      <c r="AB132" s="3" t="inlineStr">
        <is>
          <t>Requisitos mínimos para el acceso a espacios públicos abiertos</t>
        </is>
      </c>
      <c r="AC132" s="3" t="inlineStr">
        <is>
          <t>பொது திறந்த வெளி அணுகலுக்கான குறைந்தபட்ச தேவைகள்</t>
        </is>
      </c>
      <c r="AD132" s="3" t="inlineStr">
        <is>
          <t>ข้อ​กำหนด​ขั้น​ต่ำ​สำหรับ​การ​เข้า​ถึง​พื้นที่​เปิด​โล่ง​สาธารณะ</t>
        </is>
      </c>
      <c r="AE132" s="3" t="inlineStr">
        <is>
          <t>Kamusal açık alan erişimi için asgari gereklilikler</t>
        </is>
      </c>
      <c r="AF132" s="3" t="inlineStr">
        <is>
          <t>Мінімальні вимоги до публічного доступу у відкритий простір</t>
        </is>
      </c>
      <c r="AG132" s="3" t="inlineStr">
        <is>
          <t>Yêu cầu tối thiểu đối với việc tiếp cận không gian mở công cộng</t>
        </is>
      </c>
    </row>
    <row r="133" ht="30" customHeight="1">
      <c r="A133" s="15" t="inlineStr">
        <is>
          <t>policy</t>
        </is>
      </c>
      <c r="B133" s="15" t="inlineStr">
        <is>
          <t>Climate resilient cities policies</t>
        </is>
      </c>
      <c r="C133" s="9" t="inlineStr">
        <is>
          <t>Climate resilient cities policies</t>
        </is>
      </c>
      <c r="D133" s="8" t="inlineStr">
        <is>
          <t>سياسات المدن المقاومة للمناخ</t>
        </is>
      </c>
      <c r="E133" s="8" t="inlineStr">
        <is>
          <t>Polítiques de ciutats resilients al clima</t>
        </is>
      </c>
      <c r="F133" s="9" t="inlineStr">
        <is>
          <t>气候适应型城市政策</t>
        </is>
      </c>
      <c r="G133" s="8" t="inlineStr">
        <is>
          <t>氣候調適型城市政策</t>
        </is>
      </c>
      <c r="H133" s="16" t="inlineStr">
        <is>
          <t>Politike gradova otpornih na klimatske promjene</t>
        </is>
      </c>
      <c r="I133" s="8" t="inlineStr">
        <is>
          <t>Politika měst odolných vůči klimatu</t>
        </is>
      </c>
      <c r="J133" s="16" t="inlineStr">
        <is>
          <t>Politikker for klimaresistente byer</t>
        </is>
      </c>
      <c r="K133" s="16" t="inlineStr">
        <is>
          <t>Beleid voor klimaatbestendige steden</t>
        </is>
      </c>
      <c r="L133" s="8" t="inlineStr">
        <is>
          <t>Politiikkadokumentit tai muut yksittäiset poliittiset ohjauskeinot, joissa käsitellään ilmastoresilienttiä kaupunkia</t>
        </is>
      </c>
      <c r="M133" s="8" t="inlineStr">
        <is>
          <t>Politiques des villes résilientes au climat</t>
        </is>
      </c>
      <c r="N133" s="8" t="inlineStr">
        <is>
          <t>Klimaresiliente Städtepolitik</t>
        </is>
      </c>
      <c r="O133" s="8" t="inlineStr">
        <is>
          <t>Πολιτικές για ανθεκτικές στο κλίμα πόλεις</t>
        </is>
      </c>
      <c r="P133" s="8" t="inlineStr">
        <is>
          <t>Manufofin birane masu juriyar yanayi</t>
        </is>
      </c>
      <c r="Q133" s="8" t="inlineStr">
        <is>
          <t>जलवायु अनुकूल शहरों की नीतियां</t>
        </is>
      </c>
      <c r="R133" s="8" t="inlineStr">
        <is>
          <t>Kebijakan kota yang berketahanan iklim</t>
        </is>
      </c>
      <c r="S133" s="8" t="inlineStr">
        <is>
          <t>Politiche relative a città resilienti al clima</t>
        </is>
      </c>
      <c r="T133" s="3" t="inlineStr">
        <is>
          <t>気候変動に強い都市政策</t>
        </is>
      </c>
      <c r="U133" s="3" t="inlineStr">
        <is>
          <t>기후 회복력 있는 도시 정책</t>
        </is>
      </c>
      <c r="V133" s="3" t="inlineStr">
        <is>
          <t>Nga kaupapa here o nga taone nui e kaha ana te rangi</t>
        </is>
      </c>
      <c r="W133" s="3" t="inlineStr">
        <is>
          <t>जलवायु लचिलो सहर नीतिहरू</t>
        </is>
      </c>
      <c r="X133" s="44" t="inlineStr">
        <is>
          <t>سیاست‌های شهرهای تاب آور برابر تغییرات اقلیمی</t>
        </is>
      </c>
      <c r="Y133" s="3" t="inlineStr">
        <is>
          <t>Políticas para cidades resilientes ao clima</t>
        </is>
      </c>
      <c r="Z133" s="3" t="inlineStr">
        <is>
          <t>Políticas para cidades resilientes ao clima</t>
        </is>
      </c>
      <c r="AA133" s="3" t="inlineStr">
        <is>
          <t>Políticas de ciudades resilientes al clima</t>
        </is>
      </c>
      <c r="AB133" s="3" t="inlineStr">
        <is>
          <t>Políticas de ciudades resilientes al clima</t>
        </is>
      </c>
      <c r="AC133" s="3" t="inlineStr">
        <is>
          <t>தட்பவெப்ப நிலையைத் தாங்கும் நகரங்களின் கொள்கைகள்</t>
        </is>
      </c>
      <c r="AD133" s="3" t="inlineStr">
        <is>
          <t>นโยบาย​เมือง​ที่​มี​ความ​ยืดหยุ่น​ต่อ​สภาพ​ภูมิ​อากาศ</t>
        </is>
      </c>
      <c r="AE133" s="3" t="inlineStr">
        <is>
          <t>İklime dayanıklı şehir politikaları</t>
        </is>
      </c>
      <c r="AF133" s="3" t="inlineStr">
        <is>
          <t>Політика міст, стійких до зміни клімату</t>
        </is>
      </c>
      <c r="AG133" s="3" t="inlineStr">
        <is>
          <t>Chính sách thành phố thích ứng với khí hậu</t>
        </is>
      </c>
    </row>
    <row r="134" ht="30" customHeight="1">
      <c r="A134" s="15" t="inlineStr">
        <is>
          <t>concept</t>
        </is>
      </c>
      <c r="B134" s="15" t="inlineStr">
        <is>
          <t>Urban air quality, and nature-based solutions</t>
        </is>
      </c>
      <c r="C134" s="9" t="inlineStr">
        <is>
          <t>Urban air quality, and nature-based solutions</t>
        </is>
      </c>
      <c r="D134" s="8" t="inlineStr">
        <is>
          <t>جودة الهواء في المناطق الحضرية، والحلول القائمة على الطبيعة</t>
        </is>
      </c>
      <c r="E134" s="8" t="inlineStr">
        <is>
          <t>Qualitat de l'aire urbà i solucions basades en la natura</t>
        </is>
      </c>
      <c r="F134" s="9" t="inlineStr">
        <is>
          <t>城市空气质量和基于自然的解决方案</t>
        </is>
      </c>
      <c r="G134" s="8" t="inlineStr">
        <is>
          <t>城市空氣品質和基於自然的解決方案</t>
        </is>
      </c>
      <c r="H134" s="16" t="inlineStr">
        <is>
          <t>Kvaliteta urbanog zraka i rješenja temeljena na prirodi</t>
        </is>
      </c>
      <c r="I134" s="8" t="inlineStr">
        <is>
          <t>Kvalita ovzduší ve městech a řešení založená na přírodě</t>
        </is>
      </c>
      <c r="J134" s="16" t="inlineStr">
        <is>
          <t>Byens luftkvalitet og naturbaserede løsninger</t>
        </is>
      </c>
      <c r="K134" s="16" t="inlineStr">
        <is>
          <t>Stedelijke luchtkwaliteit en op de natuur gebaseerde oplossingen</t>
        </is>
      </c>
      <c r="L134" s="8" t="inlineStr">
        <is>
          <t>Kaupunkien ilmanlaatu ja luontopohjaiset ratkaisut</t>
        </is>
      </c>
      <c r="M134" s="8" t="inlineStr">
        <is>
          <t>Qualité de l'air urbain et solutions basées sur la nature</t>
        </is>
      </c>
      <c r="N134" s="8" t="inlineStr">
        <is>
          <t>Stadtluftqualität und naturbasierte Lösungen</t>
        </is>
      </c>
      <c r="O134" s="8" t="inlineStr">
        <is>
          <t>Ποιότητα αέρα στην πόλη και λύσεις που βασίζονται στη φύση</t>
        </is>
      </c>
      <c r="P134" s="8" t="inlineStr">
        <is>
          <t>Ingantacciyar iska ta birni, da mafita na tushen yanayi</t>
        </is>
      </c>
      <c r="Q134" s="8" t="inlineStr">
        <is>
          <t>शहरी वायु गुणवत्ता, और प्रकृति-आधारित समाधान</t>
        </is>
      </c>
      <c r="R134" s="8" t="inlineStr">
        <is>
          <t>Kualitas udara perkotaan, dan solusi berbasis alam</t>
        </is>
      </c>
      <c r="S134" s="8" t="inlineStr">
        <is>
          <t>Qualità dell’aria urbana e soluzioni basate sulla natura</t>
        </is>
      </c>
      <c r="T134" s="3" t="inlineStr">
        <is>
          <t>都市の大気質と自然ベースのソリューション</t>
        </is>
      </c>
      <c r="U134" s="3" t="inlineStr">
        <is>
          <t>도시 대기질 및 자연 기반 해결책</t>
        </is>
      </c>
      <c r="V134" s="3" t="inlineStr">
        <is>
          <t>Ko te kounga o te hau taone, me nga otinga-a-taiao</t>
        </is>
      </c>
      <c r="W134" s="3" t="inlineStr">
        <is>
          <t>शहरी वायु गुणस्तर, र प्रकृति आधारित समाधान</t>
        </is>
      </c>
      <c r="X134" s="44" t="inlineStr">
        <is>
          <t>کیفیت هوای شهری و راهکارهای مبتنی بر طبیعت</t>
        </is>
      </c>
      <c r="Y134" s="3" t="inlineStr">
        <is>
          <t>Qualidade do ar e soluções baseadas na natureza</t>
        </is>
      </c>
      <c r="Z134" s="3" t="inlineStr">
        <is>
          <t>Qualidade do ar urbano e soluções baseadas na natureza</t>
        </is>
      </c>
      <c r="AA134" s="3" t="inlineStr">
        <is>
          <t>Calidad del aire urbano y soluciones basadas en la naturaleza</t>
        </is>
      </c>
      <c r="AB134" s="3" t="inlineStr">
        <is>
          <t>Calidad del aire urbano y soluciones basadas en la naturaleza</t>
        </is>
      </c>
      <c r="AC134" s="3" t="inlineStr">
        <is>
          <t>நகர்ப்புற காற்றின் தரம் மற்றும் இயற்கை அடிப்படையிலான தீர்வுகள்</t>
        </is>
      </c>
      <c r="AD134" s="3" t="inlineStr">
        <is>
          <t>คุณภาพ​อากาศ​ใน​เมือง​และ​วิธี​แก้​ปัญหา​จาก​ธรรมชาติ</t>
        </is>
      </c>
      <c r="AE134" s="3" t="inlineStr">
        <is>
          <t>Kentsel hava kalitesi ve doğaya dayalı çözümler</t>
        </is>
      </c>
      <c r="AF134" s="3" t="inlineStr">
        <is>
          <t>Якість міського повітря та рішення, засновані на природі</t>
        </is>
      </c>
      <c r="AG134" s="3" t="inlineStr">
        <is>
          <t>Chất lượng không khí đô thị và các giải pháp dựa vào thiên nhiên</t>
        </is>
      </c>
    </row>
    <row r="135" ht="45" customHeight="1">
      <c r="A135" s="15" t="inlineStr">
        <is>
          <t>policy</t>
        </is>
      </c>
      <c r="B135" s="15" t="inlineStr">
        <is>
          <t>Nature-based solutions policies</t>
        </is>
      </c>
      <c r="C135" s="9" t="inlineStr">
        <is>
          <t>Urban air quality, and nature-based solutions policies</t>
        </is>
      </c>
      <c r="D135" s="8" t="inlineStr">
        <is>
          <t>جودة الهواء في المناطق الحضرية، وسياسات الحلول القائمة على الطبيعة</t>
        </is>
      </c>
      <c r="E135" s="8" t="inlineStr">
        <is>
          <t>Qualitat de l'aire urbà i polítiques de solucions basades en la natura</t>
        </is>
      </c>
      <c r="F135" s="9" t="inlineStr">
        <is>
          <t>城市空气质量和基于自然的解决方案政策</t>
        </is>
      </c>
      <c r="G135" s="8" t="inlineStr">
        <is>
          <t>城市空氣品質和基於自然的解決方案政策</t>
        </is>
      </c>
      <c r="H135" s="16" t="inlineStr">
        <is>
          <t>Kvaliteta zraka u gradovima i politika rješenja temeljena na prirodi</t>
        </is>
      </c>
      <c r="I135" s="8" t="inlineStr">
        <is>
          <t>Politika kvality ovzduší ve městech a řešení založená na přírodě</t>
        </is>
      </c>
      <c r="J135" s="16" t="inlineStr">
        <is>
          <t>Politikker for luftkvalitet i byer og naturbaserede løsninger</t>
        </is>
      </c>
      <c r="K135" s="16" t="inlineStr">
        <is>
          <t>Stedelijke luchtkwaliteit en beleid voor op de natuur gebaseerde oplossingen</t>
        </is>
      </c>
      <c r="L135" s="8" t="inlineStr">
        <is>
          <t>Politiikkadokumentit tai muut yksittäiset poliittiset ohjauskeinot, joissa käsitellään kaupunkien ilmanlaatua ja luontopohjaisia ratkaisuja</t>
        </is>
      </c>
      <c r="M135" s="8" t="inlineStr">
        <is>
          <t>Politiques relatives à la qualité de l’air urbain et aux solutions fondées sur la nature</t>
        </is>
      </c>
      <c r="N135" s="8" t="inlineStr">
        <is>
          <t>Städtische Luftqualität und Richtlinien zu naturbasierten Lösungsstrategien</t>
        </is>
      </c>
      <c r="O135" s="8" t="inlineStr">
        <is>
          <t>Πολιτικές για την ποιότητα του αέρα στις πόλεις και λύσεις που βασίζονται στη φύση</t>
        </is>
      </c>
      <c r="P135" s="8" t="inlineStr">
        <is>
          <t>Ingancin iska na birni, da manufofin mafita na tushen yanayi</t>
        </is>
      </c>
      <c r="Q135" s="8" t="inlineStr">
        <is>
          <t>शहरी वायु गुणवत्ता, और प्रकृति-आधारित समाधान नीतियां</t>
        </is>
      </c>
      <c r="R135" s="8" t="inlineStr">
        <is>
          <t>Kebijakan kualitas udara perkotaan dan solusi berbasis alam</t>
        </is>
      </c>
      <c r="S135" s="8" t="inlineStr">
        <is>
          <t>Politiche relative alla qualità dell’aria urbana e alle soluzioni basate sulla natura</t>
        </is>
      </c>
      <c r="T135" s="3" t="inlineStr">
        <is>
          <t>都市の大気質と自然ベースのソリューション政策</t>
        </is>
      </c>
      <c r="U135" s="3" t="inlineStr">
        <is>
          <t>도시 대기질 및 자연 기반 해결책 정책</t>
        </is>
      </c>
      <c r="V135" s="3" t="inlineStr">
        <is>
          <t>Ko te kounga o te hau taone, me nga kaupapa here mo nga otinga taiao</t>
        </is>
      </c>
      <c r="W135" s="3" t="inlineStr">
        <is>
          <t>शहरी वायु गुणस्तर, र प्रकृति आधारित समाधान नीतिहरू</t>
        </is>
      </c>
      <c r="X135" s="44" t="inlineStr">
        <is>
          <t>سیاست‌های کیفیت هوای شهری و راه‌حل‌های مبتنی بر طبیعت</t>
        </is>
      </c>
      <c r="Y135" s="3" t="inlineStr">
        <is>
          <t>Qualidade do ar e políticas de soluções baseadas na natureza</t>
        </is>
      </c>
      <c r="Z135" s="3" t="inlineStr">
        <is>
          <t>Qualidade do ar urbano e políticas de soluções baseadas na natureza</t>
        </is>
      </c>
      <c r="AA135" s="3" t="inlineStr">
        <is>
          <t>Políticas de calidad del aire urbano y soluciones basadas en la naturaleza</t>
        </is>
      </c>
      <c r="AB135" s="3" t="inlineStr">
        <is>
          <t>Políticas sobre calidad del aire urbano y sobre soluciones basadas en la naturaleza</t>
        </is>
      </c>
      <c r="AC135" s="3" t="inlineStr">
        <is>
          <t>நகர்ப்புற காற்றின் தரம் மற்றும் இயற்கை அடிப்படையிலான தீர்வுகள் கொள்கைகள்</t>
        </is>
      </c>
      <c r="AD135" s="3" t="inlineStr">
        <is>
          <t>นโยบาย​คุณภาพ​อากาศ​ใน​เมือง​และ​การ​แก้​ปัญหา​โดย​อิง​ธรรมชาติ</t>
        </is>
      </c>
      <c r="AE135" s="3" t="inlineStr">
        <is>
          <t>Kentsel hava kalitesi ve doğaya dayalı çözüm politikaları</t>
        </is>
      </c>
      <c r="AF135" s="3" t="inlineStr">
        <is>
          <t>Якість міського повітря та політика екологічних рішень</t>
        </is>
      </c>
      <c r="AG135" s="3" t="inlineStr">
        <is>
          <t>Chính sách về chất lượng không khí đô thị và giải pháp dựa vào thiên nhiên</t>
        </is>
      </c>
    </row>
    <row r="136" ht="30" customHeight="1">
      <c r="A136" s="15" t="inlineStr">
        <is>
          <t>measures</t>
        </is>
      </c>
      <c r="B136" s="15" t="inlineStr">
        <is>
          <t>Tree canopy and urban greening</t>
        </is>
      </c>
      <c r="C136" s="9" t="inlineStr">
        <is>
          <t>Tree canopy and urban greening requirements</t>
        </is>
      </c>
      <c r="D136" s="8" t="inlineStr">
        <is>
          <t>متطلبات مظلة الأشجار والتخضير الحضري</t>
        </is>
      </c>
      <c r="E136" s="8" t="inlineStr">
        <is>
          <t>Requisits per a la coberta dels arbres i l'ambientació urbana</t>
        </is>
      </c>
      <c r="F136" s="9" t="inlineStr">
        <is>
          <t>树冠及城市绿化要求</t>
        </is>
      </c>
      <c r="G136" s="8" t="inlineStr">
        <is>
          <t>樹冠及城市綠化要求</t>
        </is>
      </c>
      <c r="H136" s="16" t="inlineStr">
        <is>
          <t>Zahtjevi za krošnje drveća i urbano ozelenjavanje</t>
        </is>
      </c>
      <c r="I136" s="8" t="inlineStr">
        <is>
          <t>Požadavky na koruny stromů a městskou zeleň</t>
        </is>
      </c>
      <c r="J136" s="16" t="inlineStr">
        <is>
          <t>Krav til trækroner og grønne områder i byerne</t>
        </is>
      </c>
      <c r="K136" s="16" t="inlineStr">
        <is>
          <t>Vereisten voor boomkruinen en stedelijke vergroening</t>
        </is>
      </c>
      <c r="L136" s="8" t="inlineStr">
        <is>
          <t>Latvuspeitto ja kaupunkien viherryttämisvaatimukset</t>
        </is>
      </c>
      <c r="M136" s="8" t="inlineStr">
        <is>
          <t>Couvert forestier et exigences en matière de verdissement urbain</t>
        </is>
      </c>
      <c r="N136" s="8" t="inlineStr">
        <is>
          <t>Anforderungen an Baumkronen und Stadtbegrünung</t>
        </is>
      </c>
      <c r="O136" s="8" t="inlineStr">
        <is>
          <t>Απαιτήσεις για στέγαστρο δέντρων και αστικό πράσινο</t>
        </is>
      </c>
      <c r="P136" s="8" t="inlineStr">
        <is>
          <t>Alfarwar itace da buƙatun kore na birni</t>
        </is>
      </c>
      <c r="Q136" s="8" t="inlineStr">
        <is>
          <t>वृक्ष छत्रछाया और शहरी हरियाली आवश्यकताएँ</t>
        </is>
      </c>
      <c r="R136" s="8" t="inlineStr">
        <is>
          <t>Persyaratan kanopi pohon dan penghijauan perkotaan</t>
        </is>
      </c>
      <c r="S136" s="8" t="inlineStr">
        <is>
          <t>Requisiti relativi alla copertura arborea e al verde urbano</t>
        </is>
      </c>
      <c r="T136" s="3" t="inlineStr">
        <is>
          <t>樹冠および都市緑化に関する要件</t>
        </is>
      </c>
      <c r="U136" s="3" t="inlineStr">
        <is>
          <t>나무 캐노피 및 도시 녹화 요구 사항</t>
        </is>
      </c>
      <c r="V136" s="3" t="inlineStr">
        <is>
          <t>Ko nga tikanga mo te whakato rakau me te whakakao i nga taone</t>
        </is>
      </c>
      <c r="W136" s="3" t="inlineStr">
        <is>
          <t>रूख छाता र शहरी हरियाली आवश्यकताहरू</t>
        </is>
      </c>
      <c r="X136" s="44" t="inlineStr">
        <is>
          <t>الزامات پوشش درختی و فضای سبز شهری</t>
        </is>
      </c>
      <c r="Y136" s="3" t="inlineStr">
        <is>
          <t>Requisitos de cobertura arbórea e ecologização urbana</t>
        </is>
      </c>
      <c r="Z136" s="3" t="inlineStr">
        <is>
          <t>Requisitos de copa das árvores e ecologização urbana</t>
        </is>
      </c>
      <c r="AA136" s="3" t="inlineStr">
        <is>
          <t>Requisitos de cobertura de árboles y vegetación urbana</t>
        </is>
      </c>
      <c r="AB136" s="3" t="inlineStr">
        <is>
          <t>Requisitos de cobertura de árboles y reverdecimiento urbano</t>
        </is>
      </c>
      <c r="AC136" s="3" t="inlineStr">
        <is>
          <t>மர விதானம் மற்றும் நகர்ப்புற பசுமை தேவைகள்</t>
        </is>
      </c>
      <c r="AD136" s="3" t="inlineStr">
        <is>
          <t>ข้อ​กำหนดการ​ปลูก​ต้นไม้​ให้​ร่ม​เงา​นและ​พื้นที่​สี​เขียว​ใน​เมือง</t>
        </is>
      </c>
      <c r="AE136" s="3" t="inlineStr">
        <is>
          <t>Ağaç örtüsü ve kentsel yeşillendirme gereklilikleri</t>
        </is>
      </c>
      <c r="AF136" s="3" t="inlineStr">
        <is>
          <t>Вимоги до крони дерев та озеленення міст</t>
        </is>
      </c>
      <c r="AG136" s="3" t="inlineStr">
        <is>
          <t>Yêu cầu về tán cây và phủ xanh đô thị</t>
        </is>
      </c>
    </row>
    <row r="137" ht="45" customHeight="1">
      <c r="A137" s="15" t="inlineStr">
        <is>
          <t>measures</t>
        </is>
      </c>
      <c r="B137" s="15" t="inlineStr">
        <is>
          <t>Urban biodiversity protection &amp; promotion</t>
        </is>
      </c>
      <c r="C137" s="9" t="inlineStr">
        <is>
          <t>Urban biodiversity protection &amp; promotion</t>
        </is>
      </c>
      <c r="D137" s="8" t="inlineStr">
        <is>
          <t>حماية التنوع البيولوجي الحضري وتعزيزه</t>
        </is>
      </c>
      <c r="E137" s="8" t="inlineStr">
        <is>
          <t>Protecció i promoció de la biodiversitat urbana</t>
        </is>
      </c>
      <c r="F137" s="9" t="inlineStr">
        <is>
          <t>城市生物多样性保护与促进</t>
        </is>
      </c>
      <c r="G137" s="8" t="inlineStr">
        <is>
          <t>城市生物多樣性保育與促進</t>
        </is>
      </c>
      <c r="H137" s="16" t="inlineStr">
        <is>
          <t>Zaštita i promicanje urbane biološke raznolikosti</t>
        </is>
      </c>
      <c r="I137" s="8" t="inlineStr">
        <is>
          <t>Ochrana a podpora městské biodiverzity</t>
        </is>
      </c>
      <c r="J137" s="16" t="inlineStr">
        <is>
          <t>Beskyttelse og fremme af biodiversitet i byer</t>
        </is>
      </c>
      <c r="K137" s="16" t="inlineStr">
        <is>
          <t>Bescherming en bevordering van stedelijke biodiversiteit</t>
        </is>
      </c>
      <c r="L137" s="8" t="inlineStr">
        <is>
          <t>Biodiversiteetin suojelu ja edistäminen</t>
        </is>
      </c>
      <c r="M137" s="8" t="inlineStr">
        <is>
          <t>Protection et promotion de la biodiversité urbaine</t>
        </is>
      </c>
      <c r="N137" s="8" t="inlineStr">
        <is>
          <t>Schutz und Förderung der städtischen Biodiversität</t>
        </is>
      </c>
      <c r="O137" s="8" t="inlineStr">
        <is>
          <t>Προστασία και προώθηση της αστικής βιοποικιλότητας</t>
        </is>
      </c>
      <c r="P137" s="8" t="inlineStr">
        <is>
          <t>Kariyar halittun birni &amp; haɓakawa</t>
        </is>
      </c>
      <c r="Q137" s="8" t="inlineStr">
        <is>
          <t>शहरी जैव विविधता संरक्षण एवं संवर्धन</t>
        </is>
      </c>
      <c r="R137" s="8" t="inlineStr">
        <is>
          <t>Perlindungan &amp; promosi keanekaragaman hayati perkotaan</t>
        </is>
      </c>
      <c r="S137" s="8" t="inlineStr">
        <is>
          <t>Tutela e promozione della biodiversità urbana</t>
        </is>
      </c>
      <c r="T137" s="3" t="inlineStr">
        <is>
          <t>都市の生物多様性の保護・促進</t>
        </is>
      </c>
      <c r="U137" s="3" t="inlineStr">
        <is>
          <t>도시 생물 다양성 보호 및 증진</t>
        </is>
      </c>
      <c r="V137" s="3" t="inlineStr">
        <is>
          <t>Te tiaki me te whakatairanga i te kanorau koiora o te taone</t>
        </is>
      </c>
      <c r="W137" s="3" t="inlineStr">
        <is>
          <t>सहरी जैविक विविधता संरक्षण र प्रवर्द्धन</t>
        </is>
      </c>
      <c r="X137" s="44" t="inlineStr">
        <is>
          <t>حفاظت و ارتقاء تنوع زیستی شهری</t>
        </is>
      </c>
      <c r="Y137" s="3" t="inlineStr">
        <is>
          <t>Proteção e promoção da biodiversidade urbana</t>
        </is>
      </c>
      <c r="Z137" s="3" t="inlineStr">
        <is>
          <t>Proteção e promoção da biodiversidade urbana</t>
        </is>
      </c>
      <c r="AA137" s="3" t="inlineStr">
        <is>
          <t>Protección y promoción de la biodiversidad urbana</t>
        </is>
      </c>
      <c r="AB137" s="3" t="inlineStr">
        <is>
          <t>Protección y promoción de la biodiversidad urbana</t>
        </is>
      </c>
      <c r="AC137" s="3" t="inlineStr">
        <is>
          <t>நகர்ப்புற பல்லுயிர் பாதுகாப்பு மற்றும் மேம்பாடு</t>
        </is>
      </c>
      <c r="AD137" s="3" t="inlineStr">
        <is>
          <t>การ​คุ้ม​ครอง​และ​ส่ง​เสริม​ความ​หลากหลาย​ทาง​ชีวภาพ​ใน​เมือง</t>
        </is>
      </c>
      <c r="AE137" s="3" t="inlineStr">
        <is>
          <t>Kentsel biyoçeşitliliğin korunması ve geliştirilmesi</t>
        </is>
      </c>
      <c r="AF137" s="3" t="inlineStr">
        <is>
          <t>Захист і просування міського біорізноманіття</t>
        </is>
      </c>
      <c r="AG137" s="3" t="inlineStr">
        <is>
          <t>Bảo vệ và thúc đẩy đa dạng sinh học đô thị</t>
        </is>
      </c>
    </row>
    <row r="138" ht="30" customHeight="1">
      <c r="A138" s="15" t="inlineStr">
        <is>
          <t>policy</t>
        </is>
      </c>
      <c r="B138" s="15" t="inlineStr">
        <is>
          <t>Urban air quality policies</t>
        </is>
      </c>
      <c r="C138" s="9" t="inlineStr">
        <is>
          <t>Urban air quality, and nature-based solutions policies</t>
        </is>
      </c>
      <c r="D138" s="8" t="inlineStr">
        <is>
          <t>جودة الهواء في المناطق الحضرية، وسياسات الحلول القائمة على الطبيعة</t>
        </is>
      </c>
      <c r="E138" s="8" t="inlineStr">
        <is>
          <t>Qualitat de l'aire urbà i polítiques de solucions basades en la natura</t>
        </is>
      </c>
      <c r="F138" s="9" t="inlineStr">
        <is>
          <t>城市空气质量和基于自然的解决方案政策</t>
        </is>
      </c>
      <c r="G138" s="8" t="inlineStr">
        <is>
          <t>城市空氣品質和基於自然的解決方案政策</t>
        </is>
      </c>
      <c r="H138" s="16" t="inlineStr">
        <is>
          <t>Kvaliteta zraka u gradovima i politika rješenja temeljena na prirodi</t>
        </is>
      </c>
      <c r="I138" s="8" t="inlineStr">
        <is>
          <t>Politika kvality ovzduší ve městech a řešení založená na přírodě</t>
        </is>
      </c>
      <c r="J138" s="16" t="inlineStr">
        <is>
          <t>Politikker for luftkvalitet i byer og naturbaserede løsninger</t>
        </is>
      </c>
      <c r="K138" s="16" t="inlineStr">
        <is>
          <t>Stedelijke luchtkwaliteit en beleid voor op de natuur gebaseerde oplossingen</t>
        </is>
      </c>
      <c r="L138" s="8" t="inlineStr">
        <is>
          <t>Politiikkadokumentit tai muut yksittäiset poliittiset ohjauskeinot, joissa käsitellään kaupunkien ilmanlaatua ja luontopohjaisia ratkaisuja</t>
        </is>
      </c>
      <c r="M138" s="8" t="inlineStr">
        <is>
          <t>Politiques relatives à la qualité de l’air urbain et aux solutions fondées sur la nature</t>
        </is>
      </c>
      <c r="N138" s="8" t="inlineStr">
        <is>
          <t>Städtische Luftqualität und Richtlinien zu naturbasierten Lösungsstrategien</t>
        </is>
      </c>
      <c r="O138" s="8" t="inlineStr">
        <is>
          <t>Πολιτικές για την ποιότητα του αέρα στις πόλεις και λύσεις που βασίζονται στη φύση</t>
        </is>
      </c>
      <c r="P138" s="8" t="inlineStr">
        <is>
          <t>Ingancin iska na birni, da manufofin mafita na tushen yanayi</t>
        </is>
      </c>
      <c r="Q138" s="8" t="inlineStr">
        <is>
          <t>शहरी वायु गुणवत्ता, और प्रकृति-आधारित समाधान नीतियां</t>
        </is>
      </c>
      <c r="R138" s="8" t="inlineStr">
        <is>
          <t>Kebijakan kualitas udara perkotaan dan solusi berbasis alam</t>
        </is>
      </c>
      <c r="S138" s="8" t="inlineStr">
        <is>
          <t>Politiche relative alla qualità dell’aria urbana e alle soluzioni basate sulla natura</t>
        </is>
      </c>
      <c r="T138" s="3" t="inlineStr">
        <is>
          <t>都市の大気質と自然ベースのソリューション政策</t>
        </is>
      </c>
      <c r="U138" s="3" t="inlineStr">
        <is>
          <t>도시 대기질 및 자연 기반 해결책 정책</t>
        </is>
      </c>
      <c r="V138" s="3" t="inlineStr">
        <is>
          <t>Ko te kounga o te hau taone, me nga kaupapa here mo nga otinga taiao</t>
        </is>
      </c>
      <c r="W138" s="3" t="inlineStr">
        <is>
          <t>शहरी वायु गुणस्तर, र प्रकृति आधारित समाधान नीतिहरू</t>
        </is>
      </c>
      <c r="X138" s="44" t="inlineStr">
        <is>
          <t>سیاست‌های کیفیت هوای شهری و راه‌حل‌های مبتنی بر طبیعت</t>
        </is>
      </c>
      <c r="Y138" s="3" t="inlineStr">
        <is>
          <t>Qualidade do ar e políticas de soluções baseadas na natureza</t>
        </is>
      </c>
      <c r="Z138" s="3" t="inlineStr">
        <is>
          <t>Qualidade do ar urbano e políticas de soluções baseadas na natureza</t>
        </is>
      </c>
      <c r="AA138" s="3" t="inlineStr">
        <is>
          <t>Políticas de calidad del aire urbano y soluciones basadas en la naturaleza</t>
        </is>
      </c>
      <c r="AB138" s="3" t="inlineStr">
        <is>
          <t>Políticas sobre calidad del aire urbano y sobre soluciones basadas en la naturaleza</t>
        </is>
      </c>
      <c r="AC138" s="3" t="inlineStr">
        <is>
          <t>நகர்ப்புற காற்றின் தரம் மற்றும் இயற்கை அடிப்படையிலான தீர்வுகள் கொள்கைகள்</t>
        </is>
      </c>
      <c r="AD138" s="3" t="inlineStr">
        <is>
          <t>นโยบาย​คุณภาพ​อากาศ​ใน​เมือง​และ​การ​แก้​ปัญหา​โดย​อิง​ธรรมชาติ</t>
        </is>
      </c>
      <c r="AE138" s="3" t="inlineStr">
        <is>
          <t>Kentsel hava kalitesi ve doğaya dayalı çözüm politikaları</t>
        </is>
      </c>
      <c r="AF138" s="3" t="inlineStr">
        <is>
          <t>Якість міського повітря та політика екологічних рішень</t>
        </is>
      </c>
      <c r="AG138" s="3" t="inlineStr">
        <is>
          <t>Chính sách về chất lượng không khí đô thị và giải pháp dựa vào thiên nhiên</t>
        </is>
      </c>
    </row>
    <row r="139" ht="30" customHeight="1">
      <c r="A139" s="15" t="inlineStr">
        <is>
          <t>measures</t>
        </is>
      </c>
      <c r="B139" s="15" t="inlineStr">
        <is>
          <t>Transport policies to limit air pollution</t>
        </is>
      </c>
      <c r="C139" s="9" t="inlineStr">
        <is>
          <t>Transport policies to limit air pollution</t>
        </is>
      </c>
      <c r="D139" s="46" t="inlineStr">
        <is>
          <t>سياسات النقل للحد من تلوث الهواء</t>
        </is>
      </c>
      <c r="E139" s="11" t="inlineStr">
        <is>
          <t>Polítiques de transport per limitar la contaminació atmosfèrica</t>
        </is>
      </c>
      <c r="F139" s="9" t="inlineStr">
        <is>
          <t>限制空气污染的交通政策</t>
        </is>
      </c>
      <c r="G139" s="8" t="inlineStr">
        <is>
          <t>限制空氣污染的交通政策</t>
        </is>
      </c>
      <c r="H139" s="16" t="inlineStr">
        <is>
          <t>Prometna politika za ograničavanje onečišćenja zraka</t>
        </is>
      </c>
      <c r="I139" s="8" t="inlineStr">
        <is>
          <t>Dopravní politika k omezení znečištění ovzduší</t>
        </is>
      </c>
      <c r="J139" s="16" t="inlineStr">
        <is>
          <t>Transportpolitikker for at begrænse luftforurening</t>
        </is>
      </c>
      <c r="K139" s="16" t="inlineStr">
        <is>
          <t>Transportbeleid om de luchtvervuiling te beperken</t>
        </is>
      </c>
      <c r="L139" s="8" t="inlineStr">
        <is>
          <t>Liikenteen politiikkadokumentit tai muut yksittäiset poliittiset ohjauskeinot ilmansaasteiden rajoittamiseksi</t>
        </is>
      </c>
      <c r="M139" s="8" t="inlineStr">
        <is>
          <t>Des politiques de transports pour limiter la pollution de l’air</t>
        </is>
      </c>
      <c r="N139" s="8" t="inlineStr">
        <is>
          <t>Verkehrspolitik zur Begrenzung der Luftverschmutzung</t>
        </is>
      </c>
      <c r="O139" s="8" t="inlineStr">
        <is>
          <t>Πολιτικές μεταφορών για τον περιορισμό της ατμοσφαιρικής ρύπανσης</t>
        </is>
      </c>
      <c r="P139" s="8" t="inlineStr">
        <is>
          <t>Manufofin sufuri don iyakance gurɓataccen iska</t>
        </is>
      </c>
      <c r="Q139" s="11" t="inlineStr">
        <is>
          <t>वायु प्रदूषण को सीमित करने के लिए परिवहन नीतियां</t>
        </is>
      </c>
      <c r="R139" s="8" t="inlineStr">
        <is>
          <t>Kebijakan transportasi untuk membatasi polusi udara</t>
        </is>
      </c>
      <c r="S139" s="8" t="inlineStr">
        <is>
          <t>Politiche relative ai trasporti per limitare l’inquinamento atmosferico</t>
        </is>
      </c>
      <c r="T139" s="3" t="inlineStr">
        <is>
          <t>大気汚染を制限するための交通政策</t>
        </is>
      </c>
      <c r="U139" s="3" t="inlineStr">
        <is>
          <t>대기 오염을 제한하는 교통 정책</t>
        </is>
      </c>
      <c r="V139" s="3" t="inlineStr">
        <is>
          <t>Ko nga kaupapa here kawe waka hei whakaiti i te parahanga hau</t>
        </is>
      </c>
      <c r="W139" s="3" t="inlineStr">
        <is>
          <t>वायु प्रदूषण सीमित गर्न यातायात नीतिहरू</t>
        </is>
      </c>
      <c r="X139" s="44" t="inlineStr">
        <is>
          <t>سیاست‌های حمل‌ونقلی برای کاهش آلودگی هوا</t>
        </is>
      </c>
      <c r="Y139" s="3" t="inlineStr">
        <is>
          <t>Políticas de transporte para limitar a poluição atmosférica</t>
        </is>
      </c>
      <c r="Z139" s="3" t="inlineStr">
        <is>
          <t>Políticas de transporte para limitar a poluição atmosférica</t>
        </is>
      </c>
      <c r="AA139" s="3" t="inlineStr">
        <is>
          <t>Políticas de transporte para limitar la contaminación del aire</t>
        </is>
      </c>
      <c r="AB139" s="3" t="inlineStr">
        <is>
          <t>Políticas de transporte para limitar la contaminación del aire</t>
        </is>
      </c>
      <c r="AC139" s="3" t="inlineStr">
        <is>
          <t>காற்று மாசுபாட்டைக் கட்டுப்படுத்த போக்குவரத்துக் கொள்கைகள்</t>
        </is>
      </c>
      <c r="AD139" s="3" t="inlineStr">
        <is>
          <t>นโยบาย​การ​ขน​ส่ง​เพื่อ​จำกัด​มลพิษ​ทาง​อากาศ</t>
        </is>
      </c>
      <c r="AE139" s="3" t="inlineStr">
        <is>
          <t>Hava kirliliğini sınırlamaya yönelik ulaşım politikaları</t>
        </is>
      </c>
      <c r="AF139" s="3" t="inlineStr">
        <is>
          <t>Транспортна політика щодо обмеження забруднення повітря</t>
        </is>
      </c>
      <c r="AG139" s="3" t="inlineStr">
        <is>
          <t>Chính sách giao thông nhằm hạn chế ô nhiễm không khí</t>
        </is>
      </c>
    </row>
    <row r="140" ht="45" customHeight="1">
      <c r="A140" s="15" t="inlineStr">
        <is>
          <t>measures</t>
        </is>
      </c>
      <c r="B140" s="15" t="inlineStr">
        <is>
          <t>Land use policies to reduce air pollution exposure</t>
        </is>
      </c>
      <c r="C140" s="9" t="inlineStr">
        <is>
          <t>Land use policies to reduce air pollution exposure</t>
        </is>
      </c>
      <c r="D140" s="8" t="inlineStr">
        <is>
          <t>سياسات استخدام الأراضي للحد من التعرض لتلوث الهواء</t>
        </is>
      </c>
      <c r="E140" s="8" t="inlineStr">
        <is>
          <t>Polítiques d'ús del sòl per reduir l'exposició a la contaminació atmosfèrica</t>
        </is>
      </c>
      <c r="F140" s="9" t="inlineStr">
        <is>
          <t>减少空气污染暴露的土地使用政策</t>
        </is>
      </c>
      <c r="G140" s="8" t="inlineStr">
        <is>
          <t>減少空氣污染暴露的土地使用政策</t>
        </is>
      </c>
      <c r="H140" s="16" t="inlineStr">
        <is>
          <t>Politike korištenja zemljišta za smanjenje izloženosti onečišćenju zraka</t>
        </is>
      </c>
      <c r="I140" s="8" t="inlineStr">
        <is>
          <t>Politiky využívání půdy ke snížení expozice znečištění ovzduší</t>
        </is>
      </c>
      <c r="J140" s="16" t="inlineStr">
        <is>
          <t>Politikker for arealanvendelse for at reducere eksponeringen af luftforurening</t>
        </is>
      </c>
      <c r="K140" s="16" t="inlineStr">
        <is>
          <t>Beleid inzake landgebruik om de blootstelling aan luchtverontreiniging te verminderen</t>
        </is>
      </c>
      <c r="L140" s="8" t="inlineStr">
        <is>
          <t>Maankäytön politiikkadokumentit tai muut yksittäiset poliittiset ohjauskeinot ilmansaastealtistuksen vähentämiseksi</t>
        </is>
      </c>
      <c r="M140" s="8" t="inlineStr">
        <is>
          <t>Politiques d’aménagement du territoire pour réduire l’exposition à la pollution atmosphérique</t>
        </is>
      </c>
      <c r="N140" s="8" t="inlineStr">
        <is>
          <t>Landnutzungsrichtlinien zur Reduzierung der Luftverschmutzung</t>
        </is>
      </c>
      <c r="O140" s="8" t="inlineStr">
        <is>
          <t>Πολιτικές χρήσης γης για τη μείωση της έκθεσης στην ατμοσφαιρική ρύπανση</t>
        </is>
      </c>
      <c r="P140" s="8" t="inlineStr">
        <is>
          <t>Manufofin amfani da ƙasa don rage gurɓataccen iska</t>
        </is>
      </c>
      <c r="Q140" s="8" t="inlineStr">
        <is>
          <t>वायु प्रदूषण जोखिम को कम करने के लिए भूमि उपयोग नीतियां</t>
        </is>
      </c>
      <c r="R140" s="8" t="inlineStr">
        <is>
          <t>Kebijakan penggunaan lahan untuk mengurangi paparan polusi udara</t>
        </is>
      </c>
      <c r="S140" s="8" t="inlineStr">
        <is>
          <t>Politiche relative all’uso del territorio per ridurre l’esposizione all’inquinamento atmosferico</t>
        </is>
      </c>
      <c r="T140" s="3" t="inlineStr">
        <is>
          <t>大気汚染への曝露を軽減するための土地利用政策</t>
        </is>
      </c>
      <c r="U140" s="3" t="inlineStr">
        <is>
          <t>대기 오염 노출을 줄이기 위한 토지이용 정책</t>
        </is>
      </c>
      <c r="V140" s="3" t="inlineStr">
        <is>
          <t>Ko nga kaupapa here whakamahi whenua hei whakaiti i te parahanga o te hau</t>
        </is>
      </c>
      <c r="W140" s="3" t="inlineStr">
        <is>
          <t>वायु प्रदूषण जोखिम कम गर्न भूमि प्रयोग नीतिहरू</t>
        </is>
      </c>
      <c r="X140" s="44" t="inlineStr">
        <is>
          <t>سیاست‌های کاربری زمین برای کاهش مواجهه با آلودگی هوا</t>
        </is>
      </c>
      <c r="Y140" s="3" t="inlineStr">
        <is>
          <t>Políticas de uso do solo para reduzir a exposição à poluição do ar</t>
        </is>
      </c>
      <c r="Z140" s="3" t="inlineStr">
        <is>
          <t>Políticas de uso do solo para reduzir a exposição à poluição do ar</t>
        </is>
      </c>
      <c r="AA140" s="3" t="inlineStr">
        <is>
          <t>Políticas de uso del suelo para reducir la exposición a la contaminación del aire</t>
        </is>
      </c>
      <c r="AB140" s="3" t="inlineStr">
        <is>
          <t>Políticas de uso del suelo para reducir la exposición a la contaminación del aire</t>
        </is>
      </c>
      <c r="AC140" s="3" t="inlineStr">
        <is>
          <t>காற்று மாசு வெளிப்பாட்டைக் குறைப்பதற்கான நில பயன்பாட்டுக் கொள்கைகள்</t>
        </is>
      </c>
      <c r="AD140" s="3" t="inlineStr">
        <is>
          <t>นโยบาย​การ​ใช้​ประโยชน์​ที่ดิน​เพื่อ​ลด​การ​เพิ่ม​ของ​มลพิษ​ทาง​อากาศ</t>
        </is>
      </c>
      <c r="AE140" s="3" t="inlineStr">
        <is>
          <t>Hava kirliliğine maruziyetini azaltmaya yönelik arazi kullanım politikaları</t>
        </is>
      </c>
      <c r="AF140" s="3" t="inlineStr">
        <is>
          <t>Політика землекористування для зменшення впливу забруднення повітря</t>
        </is>
      </c>
      <c r="AG140" s="3" t="inlineStr">
        <is>
          <t>Chính sách sử dụng đất để giảm phơi nhiễm ô nhiễm không khí</t>
        </is>
      </c>
    </row>
    <row r="141" ht="45" customHeight="1">
      <c r="A141" s="15" t="inlineStr">
        <is>
          <t>concept</t>
        </is>
      </c>
      <c r="B141" s="15" t="inlineStr">
        <is>
          <t>Climate disaster risk reduction</t>
        </is>
      </c>
      <c r="C141" s="9" t="inlineStr">
        <is>
          <t>Climate disaster risk reduction</t>
        </is>
      </c>
      <c r="D141" s="8" t="inlineStr">
        <is>
          <t>الحد من مخاطر الكوارث المناخية</t>
        </is>
      </c>
      <c r="E141" s="8" t="inlineStr">
        <is>
          <t>Reducció del risc de desastres climàtics</t>
        </is>
      </c>
      <c r="F141" s="9" t="inlineStr">
        <is>
          <t>气候灾害风险的减少</t>
        </is>
      </c>
      <c r="G141" s="8" t="inlineStr">
        <is>
          <t>氣候災害風險的減少</t>
        </is>
      </c>
      <c r="H141" s="16" t="inlineStr">
        <is>
          <t>Smanjenje rizika od klimatskih katastrofa</t>
        </is>
      </c>
      <c r="I141" s="8" t="inlineStr">
        <is>
          <t>Snížení rizika klimatických katastrof</t>
        </is>
      </c>
      <c r="J141" s="16" t="inlineStr">
        <is>
          <t>Reduktion af risiko for klimakatastrofer</t>
        </is>
      </c>
      <c r="K141" s="16" t="inlineStr">
        <is>
          <t>Risicovermindering van klimaatrampen</t>
        </is>
      </c>
      <c r="L141" s="8" t="inlineStr">
        <is>
          <t>Ilmastokatastrofiriskin vähentäminen</t>
        </is>
      </c>
      <c r="M141" s="8" t="inlineStr">
        <is>
          <t>Réduction des risques de catastrophe climatique</t>
        </is>
      </c>
      <c r="N141" s="8" t="inlineStr">
        <is>
          <t>Reduzierung des Risikos von Klimakatastrophen</t>
        </is>
      </c>
      <c r="O141" s="8" t="inlineStr">
        <is>
          <t>Μείωση του κινδύνου κλιματικών καταστροφών</t>
        </is>
      </c>
      <c r="P141" s="8" t="inlineStr">
        <is>
          <t>Rage haɗarin bala'in yanayi</t>
        </is>
      </c>
      <c r="Q141" s="8" t="inlineStr">
        <is>
          <t>जलवायु आपदा जोखिम में कमी</t>
        </is>
      </c>
      <c r="R141" s="8" t="inlineStr">
        <is>
          <t>Pengurangan risiko bencana iklim</t>
        </is>
      </c>
      <c r="S141" s="8" t="inlineStr">
        <is>
          <t>Riduzione del rischio di disastri climatici</t>
        </is>
      </c>
      <c r="T141" s="3" t="inlineStr">
        <is>
          <t>気候災害リスクの軽減</t>
        </is>
      </c>
      <c r="U141" s="3" t="inlineStr">
        <is>
          <t>기후 재해 위험 감소</t>
        </is>
      </c>
      <c r="V141" s="3" t="inlineStr">
        <is>
          <t>Te whakahekenga o nga aitua o te rangi</t>
        </is>
      </c>
      <c r="W141" s="3" t="inlineStr">
        <is>
          <t>जलवायु प्रकोप जोखिम न्यूनीकरण</t>
        </is>
      </c>
      <c r="X141" s="44" t="inlineStr">
        <is>
          <t>کاهش ریسک بلایای ناشی از تغییرات اقلیمی</t>
        </is>
      </c>
      <c r="Y141" s="3" t="inlineStr">
        <is>
          <t>Redução do risco de desastres climáticos</t>
        </is>
      </c>
      <c r="Z141" s="3" t="inlineStr">
        <is>
          <t>Redução do risco de desastres climáticos</t>
        </is>
      </c>
      <c r="AA141" s="3" t="inlineStr">
        <is>
          <t>Reducción del riesgo de desastres climáticos</t>
        </is>
      </c>
      <c r="AB141" s="3" t="inlineStr">
        <is>
          <t>Reducción del riesgo de desastres climáticos</t>
        </is>
      </c>
      <c r="AC141" s="3" t="inlineStr">
        <is>
          <t>காலநிலை பேரழிவு ஆபத்து குறைப்பு</t>
        </is>
      </c>
      <c r="AD141" s="3" t="inlineStr">
        <is>
          <t>การ​ลด​ความ​เสี่ยง​จาก​ภัยพิบัติ​ด้าน​สภาพ​ภูมิ​อากาศ</t>
        </is>
      </c>
      <c r="AE141" s="3" t="inlineStr">
        <is>
          <t>İklim afet riskinin azaltılması</t>
        </is>
      </c>
      <c r="AF141" s="3" t="inlineStr">
        <is>
          <t>Зменшення ризику кліматичних катастроф</t>
        </is>
      </c>
      <c r="AG141" s="3" t="inlineStr">
        <is>
          <t>Giảm thiểu rủi ro thiên tai khí hậu</t>
        </is>
      </c>
    </row>
    <row r="142" ht="45" customHeight="1">
      <c r="A142" s="15" t="inlineStr">
        <is>
          <t>template</t>
        </is>
      </c>
      <c r="B142" s="15" t="inlineStr">
        <is>
          <t>Climate disaster risk reduction description</t>
        </is>
      </c>
      <c r="C142" s="9" t="inlineStr">
        <is>
          <t>In the face of climate change, built environments need to be designed to reduce the health impacts of increasingly frequent and severe extreme weather events, such as heat waves, flooding, bushfires/wildfires and extreme storms.</t>
        </is>
      </c>
      <c r="D142" s="8" t="inlineStr">
        <is>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is>
      </c>
      <c r="E142" s="8" t="inlineStr">
        <is>
          <t>Davant el canvi climàtic, els entorns construïts s'han de dissenyar per reduir els impactes sobre la salut dels esdeveniments meteorològics extrems cada cop més freqüents i greus, com ara onades de calor, inundacions, incendis forestals/incendis forestals i tempestes extremes.</t>
        </is>
      </c>
      <c r="F142" s="9" t="inlineStr">
        <is>
          <t>面对气候变化，建筑环境的设计需要减少日益频繁和严重的极端天气事件（例如热浪、洪水、丛林大火/野火和极端风暴）对健康的影响。</t>
        </is>
      </c>
      <c r="G142" s="8" t="inlineStr">
        <is>
          <t>面對氣候變化，建築環境的設計需要減少日益頻繁和嚴重的極端天氣事件（例如熱浪、洪水、叢林大火/野火和極端風暴）對健康的影響。</t>
        </is>
      </c>
      <c r="H142" s="16" t="inlineStr">
        <is>
          <t>Suočeni s klimatskim promjenama, izgrađeni okoliši moraju biti dizajnirani tako da umanje utjecaje na zdravlje sve češćih i ozbiljnijih ekstremnih vremenskih događaja, kao što su toplinski valovi, poplave, šumski požari/požari i ekstremne oluje.</t>
        </is>
      </c>
      <c r="I142" s="8" t="inlineStr">
        <is>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is>
      </c>
      <c r="J142" s="16" t="inlineStr">
        <is>
          <t>lyset af klimaændringer skal byggede miljøer designes til at reducere sundhedspåvirkningerne af stadig hyppigere og mere alvorlige ekstreme vejrbegivenheder, såsom hedebølger, oversvømmelser, skovbrande/naturbrande og ekstreme storme.</t>
        </is>
      </c>
      <c r="K142" s="16" t="inlineStr">
        <is>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is>
      </c>
      <c r="L142" s="8" t="inlineStr">
        <is>
          <t>Ilmastonmuutoksen edetessä rakennetun ympäristön suunnittelussa tulee huomioida sään ääri-ilmiöiden, kuten helleaaltojen, tulvien, metsäpalojen ja äärimmäisten myrskyjen terveysvaikutukset ja niiden vähentäminen.</t>
        </is>
      </c>
      <c r="M142" s="8" t="inlineStr">
        <is>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is>
      </c>
      <c r="N142" s="8" t="inlineStr">
        <is>
          <t>Angesichts des Klimawandels müssen gebaute Umgebungen so gestaltet werden, dass sie die gesundheitlichen Auswirkungen immer häufigerer und schwerwiegenderer extremer Wetterereignisse, wie Hitzewellen, Überschwemmungen, Busch-/Waldbrände und extreme Stürme, reduzieren.</t>
        </is>
      </c>
      <c r="O142" s="8" t="inlineStr">
        <is>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is>
      </c>
      <c r="P142" s="8" t="inlineStr">
        <is>
          <t>cikin fuskantar sauyin yanayi, ana buƙatar gina wuraren da aka gina don rage tasirin lafiyar da ke faruwa akai-akai da matsananciyar yanayi, kamar raƙuman zafi, ambaliya, gobarar daji / gobarar daji da matsananciyar guguwa.</t>
        </is>
      </c>
      <c r="Q142" s="8" t="inlineStr">
        <is>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is>
      </c>
      <c r="R142" s="8" t="inlineStr">
        <is>
          <t>Dalam menghadapi perubahan iklim, lingkungan binaan perlu dirancang untuk mengurangi dampak kesehatan dari kejadian cuaca ekstrem yang semakin sering terjadi dan parah, seperti gelombang panas, banjir, kebakaran hutan/kebakaran hutan, dan badai ekstrem.</t>
        </is>
      </c>
      <c r="S142" s="8" t="inlineStr">
        <is>
          <t>Di fronte al cambiamento climatico, il costruito deve essere progettato per ridurre gli impatti sulla salute di eventi meteorologici estremi sempre più frequenti e gravi, come ondate di caldo, inondazioni, incendi boschivi e tempeste violente.</t>
        </is>
      </c>
      <c r="T142" s="3" t="inlineStr">
        <is>
          <t>気候変動に直面して、熱波、洪水、森林火災/山火事、極端な嵐など、ますます頻繁になる深刻な異常気象による健康影響を軽減するように都市環境をデザインする必要があります。</t>
        </is>
      </c>
      <c r="U142" s="3" t="inlineStr">
        <is>
          <t>기후 변화에 직면함에 따라, 건축 환경은 폭염, 홍수, 산불, 극심한 폭풍 등과 같이 더 빈번해지고 심각해지는 극단적인 기상 현상으로 인한 건강 피해를 감소하도록 설계되어야 합니다.</t>
        </is>
      </c>
      <c r="V142" s="3" t="inlineStr">
        <is>
          <t>mua i te huringa o te huarere, me hoahoa nga taiao hanga hei whakaiti i nga paanga hauora o te piki haere o te maha me te kino o nga ahuatanga o te huarere, penei i te ngaru wera, te waipuke, te ahi ngahere/nga ahi mohoao me nga awha nui.</t>
        </is>
      </c>
      <c r="W142" s="3" t="inlineStr">
        <is>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is>
      </c>
      <c r="X142" s="44" t="inlineStr">
        <is>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is>
      </c>
      <c r="Y142" s="3" t="inlineStr">
        <is>
          <t>Face às alterações climáticas, os ambientes construídos precisam de ser concebidos para reduzir os impactos sobre a saúde de eventos climáticos extremos cada vez mais frequentes e graves, como ondas de calor, inundações, incêndios florestais e tempestades extremas.</t>
        </is>
      </c>
      <c r="Z142" s="3" t="inlineStr">
        <is>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is>
      </c>
      <c r="AA142"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B142"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C142" s="3" t="inlineStr">
        <is>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is>
      </c>
      <c r="AD142" s="3" t="inlineStr">
        <is>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is>
      </c>
      <c r="AE142" s="3" t="inlineStr">
        <is>
          <t>İklim değişikliği karşısında yapılı çevrelerin, sıcak hava dalgaları, seller, orman yangınları ve aşırı fırtınalar gibi giderek sıklaşan ve ciddileşen aşırı hava olaylarının sağlık üzerindeki etkilerini azaltacak şekilde tasarlanması gerekmektedir.</t>
        </is>
      </c>
      <c r="AF142" s="3" t="inlineStr">
        <is>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is>
      </c>
      <c r="AG142" s="3" t="inlineStr">
        <is>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is>
      </c>
    </row>
    <row r="143">
      <c r="A143" s="15" t="inlineStr">
        <is>
          <t>measures</t>
        </is>
      </c>
      <c r="B143" s="15" t="inlineStr">
        <is>
          <t>Adaptation and disaster risk reduction</t>
        </is>
      </c>
      <c r="C143" s="9" t="inlineStr">
        <is>
          <t>Adaptation and disaster risk reduction strategies</t>
        </is>
      </c>
      <c r="D143" s="8" t="inlineStr">
        <is>
          <t>استراتيجيات التكيف والحد من مخاطر الكوارث</t>
        </is>
      </c>
      <c r="E143" s="8" t="inlineStr">
        <is>
          <t>Estratègies d'adaptació i reducció del risc de desastres</t>
        </is>
      </c>
      <c r="F143" s="9" t="inlineStr">
        <is>
          <t>气候适应和减少灾害风险的战略</t>
        </is>
      </c>
      <c r="G143" s="8" t="inlineStr">
        <is>
          <t>氣候調適和減少災害風險的策略</t>
        </is>
      </c>
      <c r="H143" s="16" t="inlineStr">
        <is>
          <t>Strategije prilagodbe i smanjenja rizika od katastrofa</t>
        </is>
      </c>
      <c r="I143" s="8" t="inlineStr">
        <is>
          <t>Adaptace a strategie snižování rizika katastrof</t>
        </is>
      </c>
      <c r="J143" s="16" t="inlineStr">
        <is>
          <t>Tilpasnings- og katastroferisikoreduktionsstrategier</t>
        </is>
      </c>
      <c r="K143" s="16" t="inlineStr">
        <is>
          <t>Strategieën voor aanpassing en rampenrisicovermindering</t>
        </is>
      </c>
      <c r="L143" s="8" t="inlineStr">
        <is>
          <t>Sopeutuminen ja katastrofiriskin vähentämisstrategiat</t>
        </is>
      </c>
      <c r="M143" s="8" t="inlineStr">
        <is>
          <t>Stratégies d’adaptation et de réduction des risques de catastrophe</t>
        </is>
      </c>
      <c r="N143" s="8" t="inlineStr">
        <is>
          <t>Anpassungsstrategien und Strategien zur Katastrophenvorsorge</t>
        </is>
      </c>
      <c r="O143" s="8" t="inlineStr">
        <is>
          <t>Στρατηγικές προσαρμογής και μείωσης του κινδύνου καταστροφών</t>
        </is>
      </c>
      <c r="P143" s="8" t="inlineStr">
        <is>
          <t>Daidaituwa da dabarun rage haɗarin bala'i</t>
        </is>
      </c>
      <c r="Q143" s="8" t="inlineStr">
        <is>
          <t>अनुकूलन और आपदा जोखिम न्यूनीकरण रणनीतियाँ</t>
        </is>
      </c>
      <c r="R143" s="8" t="inlineStr">
        <is>
          <t>Strategi adaptasi dan pengurangan risiko bencana</t>
        </is>
      </c>
      <c r="S143" s="8" t="inlineStr">
        <is>
          <t>Strategie di adattamento e di riduzione del rischio di catastrofi</t>
        </is>
      </c>
      <c r="T143" s="3" t="inlineStr">
        <is>
          <t>災害への適応とリスク軽減戦略</t>
        </is>
      </c>
      <c r="U143" s="3" t="inlineStr">
        <is>
          <t>적응 및 재해 위험 감소 전략</t>
        </is>
      </c>
      <c r="V143" s="3" t="inlineStr">
        <is>
          <t>Te urutau me nga rautaki whakaheke morearea</t>
        </is>
      </c>
      <c r="W143" s="3" t="inlineStr">
        <is>
          <t>अनुकूलन र विपद् जोखिम न्यूनीकरण रणनीतिहरू</t>
        </is>
      </c>
      <c r="X143" s="44" t="inlineStr">
        <is>
          <t>استراتژی‌های تطبیق و کاهش ریسک در بلایا</t>
        </is>
      </c>
      <c r="Y143" s="3" t="inlineStr">
        <is>
          <t>Estratégias de adaptação e redução do risco de desastres</t>
        </is>
      </c>
      <c r="Z143" s="3" t="inlineStr">
        <is>
          <t>Estratégias de adaptação e redução do risco de desastres</t>
        </is>
      </c>
      <c r="AA143" s="3" t="inlineStr">
        <is>
          <t>Estrategias de adaptación y reducción del riesgo de desastres naturales</t>
        </is>
      </c>
      <c r="AB143" s="3" t="inlineStr">
        <is>
          <t>Estrategias de adaptación y reducción del riesgo de desastres</t>
        </is>
      </c>
      <c r="AC143" s="3" t="inlineStr">
        <is>
          <t>தழுவல் மற்றும் பேரிடர் அபாயத்தைக் குறைக்கும் உத்திகள்</t>
        </is>
      </c>
      <c r="AD143" s="3" t="inlineStr">
        <is>
          <t>กลยุทธ์​การ​ลด​ความ​เสี่ยง​จาก​ภัยพิบัติ​และ​การ​ปรับ​ตัว</t>
        </is>
      </c>
      <c r="AE143" s="3" t="inlineStr">
        <is>
          <t>Adaptasyon ve afet riskini azaltma stratejileri</t>
        </is>
      </c>
      <c r="AF143" s="3" t="inlineStr">
        <is>
          <t>Стратегії адаптації та зменшення ризику стихійних лих</t>
        </is>
      </c>
      <c r="AG143" s="3" t="inlineStr">
        <is>
          <t>Chiến lược thích ứng và giảm thiểu rủi ro thiên tai</t>
        </is>
      </c>
    </row>
    <row r="144" ht="135" customHeight="1">
      <c r="A144" s="15" t="inlineStr">
        <is>
          <t>template</t>
        </is>
      </c>
      <c r="B144" s="15" t="inlineStr">
        <is>
          <t>pt_header</t>
        </is>
      </c>
      <c r="C144" s="9" t="inlineStr">
        <is>
          <t>Public transport access</t>
        </is>
      </c>
      <c r="D144" s="46" t="inlineStr">
        <is>
          <t>الوصول إلى وسائل النقل العام</t>
        </is>
      </c>
      <c r="E144" s="11" t="inlineStr">
        <is>
          <t>Accés al transport públic</t>
        </is>
      </c>
      <c r="F144" s="9" t="inlineStr">
        <is>
          <t>公共交通可达性</t>
        </is>
      </c>
      <c r="G144" s="8" t="inlineStr">
        <is>
          <t>公共交通便利性</t>
        </is>
      </c>
      <c r="H144" s="16" t="inlineStr">
        <is>
          <t>Pristup javnim prijevozom</t>
        </is>
      </c>
      <c r="I144" s="8" t="inlineStr">
        <is>
          <t>Dostupnost veřejné dopravy</t>
        </is>
      </c>
      <c r="J144" s="16" t="inlineStr">
        <is>
          <t>Adgang til offentlig transport</t>
        </is>
      </c>
      <c r="K144" s="16" t="inlineStr">
        <is>
          <t>Toegankelijkheid openbaar vervoer</t>
        </is>
      </c>
      <c r="L144" s="8" t="inlineStr">
        <is>
          <t>Joukkoliikenteen saavutettavuus</t>
        </is>
      </c>
      <c r="M144" s="8" t="inlineStr">
        <is>
          <t>Accès aux transports en commun</t>
        </is>
      </c>
      <c r="N144" s="8" t="inlineStr">
        <is>
          <t>Zugang zu öffentlichen Verkehrsmitteln</t>
        </is>
      </c>
      <c r="O144" s="8" t="inlineStr">
        <is>
          <t>Πρόσβαση στα μέσα μαζικής μεταφοράς</t>
        </is>
      </c>
      <c r="P144" s="8" t="inlineStr">
        <is>
          <t>Hanyar sufurin jama'a</t>
        </is>
      </c>
      <c r="Q144" s="11" t="inlineStr">
        <is>
          <t>सार्वजनिक परिवहन पहुंच</t>
        </is>
      </c>
      <c r="R144" s="8" t="inlineStr">
        <is>
          <t>Akses transportasi umum</t>
        </is>
      </c>
      <c r="S144" s="8" t="inlineStr">
        <is>
          <t>Accesso ai trasporti pubblici</t>
        </is>
      </c>
      <c r="T144" s="3" t="inlineStr">
        <is>
          <t>公共交通アクセス</t>
        </is>
      </c>
      <c r="U144" s="3" t="inlineStr">
        <is>
          <t>대중교통 접근성</t>
        </is>
      </c>
      <c r="V144" s="3" t="inlineStr">
        <is>
          <t>Urunga waka tāone</t>
        </is>
      </c>
      <c r="W144" s="3" t="inlineStr">
        <is>
          <t>सार्वजनिक यातायात पहुँच</t>
        </is>
      </c>
      <c r="X144" s="44" t="inlineStr">
        <is>
          <t>دسترسی به حمل‌ونقل عمومی</t>
        </is>
      </c>
      <c r="Y144" s="3" t="inlineStr">
        <is>
          <t>Acesso aos transportes públicos</t>
        </is>
      </c>
      <c r="Z144" s="3" t="inlineStr">
        <is>
          <t>Acesso ao transporte público</t>
        </is>
      </c>
      <c r="AA144" s="3" t="inlineStr">
        <is>
          <t>Acceso al transporte público</t>
        </is>
      </c>
      <c r="AB144" s="3" t="inlineStr">
        <is>
          <t>Acceso al transporte público</t>
        </is>
      </c>
      <c r="AC144" s="3" t="inlineStr">
        <is>
          <t>பொது போக்குவரத்து அணுகல்</t>
        </is>
      </c>
      <c r="AD144" s="3" t="inlineStr">
        <is>
          <t>การ​เข้า​ถึง​การ​ขน​ส่ง​สาธารณะ</t>
        </is>
      </c>
      <c r="AE144" s="3" t="inlineStr">
        <is>
          <t>Toplu taşıma erişimi</t>
        </is>
      </c>
      <c r="AF144" s="3" t="inlineStr">
        <is>
          <t>Проїзд громадським транспортом</t>
        </is>
      </c>
      <c r="AG144" s="3" t="inlineStr">
        <is>
          <t>Tiếp cận giao thông công cộng</t>
        </is>
      </c>
    </row>
    <row r="145" ht="30" customHeight="1">
      <c r="A145" s="15" t="inlineStr">
        <is>
          <t>template</t>
        </is>
      </c>
      <c r="B145" s="15" t="inlineStr">
        <is>
          <t>pos_header</t>
        </is>
      </c>
      <c r="C145" s="9" t="inlineStr">
        <is>
          <t>Public open space access</t>
        </is>
      </c>
      <c r="D145" s="8" t="inlineStr">
        <is>
          <t>الوصول إلى الأماكن العامة المفتوحة</t>
        </is>
      </c>
      <c r="E145" s="8" t="inlineStr">
        <is>
          <t>Accés a espais públics oberts</t>
        </is>
      </c>
      <c r="F145" s="9" t="inlineStr">
        <is>
          <t>公共开放空间可达性</t>
        </is>
      </c>
      <c r="G145" s="8" t="inlineStr">
        <is>
          <t>公共開放空間便利性</t>
        </is>
      </c>
      <c r="H145" s="16" t="inlineStr">
        <is>
          <t>Pristup javnom otvorenom prostoru</t>
        </is>
      </c>
      <c r="I145" s="8" t="inlineStr">
        <is>
          <t>Dostupnost veřejného prostranství</t>
        </is>
      </c>
      <c r="J145" s="16" t="inlineStr">
        <is>
          <t>Adgang til åbne offentlige rum</t>
        </is>
      </c>
      <c r="K145" s="16" t="inlineStr">
        <is>
          <t>Toegankelijkheid publieke open ruimte</t>
        </is>
      </c>
      <c r="L145" s="8" t="inlineStr">
        <is>
          <t>Julkisen avoimen tilan saavutettavuus</t>
        </is>
      </c>
      <c r="M145" s="8" t="inlineStr">
        <is>
          <t>Accès aux espaces publics ouverts</t>
        </is>
      </c>
      <c r="N145" s="8" t="inlineStr">
        <is>
          <t>Zugang zu öffentlichem Freiraum</t>
        </is>
      </c>
      <c r="O145" s="8" t="inlineStr">
        <is>
          <t>Πρόσβαση σε δημόσιο ανοιχτό χώρο</t>
        </is>
      </c>
      <c r="P145" s="8" t="inlineStr">
        <is>
          <t>Samun damar sararin samaniya na jama'a</t>
        </is>
      </c>
      <c r="Q145" s="8" t="inlineStr">
        <is>
          <t>सार्वजनिक खुले स्थान तक पहुंच</t>
        </is>
      </c>
      <c r="R145" s="8" t="inlineStr">
        <is>
          <t>Akses ruang terbuka publik</t>
        </is>
      </c>
      <c r="S145" s="8" t="inlineStr">
        <is>
          <t>Accesso allo spazio pubblico aperto</t>
        </is>
      </c>
      <c r="T145" s="3" t="inlineStr">
        <is>
          <t>公的オープンスペースへのアクセス</t>
        </is>
      </c>
      <c r="U145" s="3" t="inlineStr">
        <is>
          <t>공공 야외 공간 접근성</t>
        </is>
      </c>
      <c r="V145" s="3" t="inlineStr">
        <is>
          <t>Urunga ki ngā wāhi tūwhera</t>
        </is>
      </c>
      <c r="W145" s="3" t="inlineStr">
        <is>
          <t>सार्वजनिक खुला स्थान पहुँच</t>
        </is>
      </c>
      <c r="X145" s="44" t="inlineStr">
        <is>
          <t>دسترسی به فضای باز عمومی</t>
        </is>
      </c>
      <c r="Y145" s="3" t="inlineStr">
        <is>
          <t>Acesso aos espaços públicos abertos</t>
        </is>
      </c>
      <c r="Z145" s="3" t="inlineStr">
        <is>
          <t>Acesso ao espaço público aberto</t>
        </is>
      </c>
      <c r="AA145" s="3" t="inlineStr">
        <is>
          <t>Acceso a espacios públicos abiertos</t>
        </is>
      </c>
      <c r="AB145" s="3" t="inlineStr">
        <is>
          <t>Acceso a espacios públicos abiertos</t>
        </is>
      </c>
      <c r="AC145" s="3" t="inlineStr">
        <is>
          <t>பொது திறந்தவெளி அணுகல்</t>
        </is>
      </c>
      <c r="AD145" s="3" t="inlineStr">
        <is>
          <t>การ​เข้า​ถึง​พื้นที่​เปิด​โล่ง​สาธารณะ</t>
        </is>
      </c>
      <c r="AE145" s="3" t="inlineStr">
        <is>
          <t>Kamusal açık alan erişimi</t>
        </is>
      </c>
      <c r="AF145" s="3" t="inlineStr">
        <is>
          <t>Громадський відкритий простір</t>
        </is>
      </c>
      <c r="AG145" s="3" t="inlineStr">
        <is>
          <t>Tiếp cận không gian mở công cộng</t>
        </is>
      </c>
    </row>
    <row r="146">
      <c r="A146" s="15" t="inlineStr">
        <is>
          <t>template</t>
        </is>
      </c>
      <c r="B146" s="15" t="inlineStr">
        <is>
          <t>pt_description</t>
        </is>
      </c>
      <c r="C146" s="10" t="inlineStr">
        <is>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is>
      </c>
      <c r="D146" s="8" t="inlineStr">
        <is>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is>
      </c>
      <c r="E146" s="8" t="inlineStr">
        <is>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is>
      </c>
      <c r="F146" s="10" t="inlineStr">
        <is>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is>
      </c>
      <c r="G146" s="11" t="inlineStr">
        <is>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is>
      </c>
      <c r="H146" s="16" t="inlineStr">
        <is>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is>
      </c>
      <c r="I146" s="11" t="inlineStr">
        <is>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is>
      </c>
      <c r="J146" s="16" t="inlineStr">
        <is>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is>
      </c>
      <c r="K146" s="16" t="inlineStr">
        <is>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is>
      </c>
      <c r="L146" s="8" t="inlineStr">
        <is>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is>
      </c>
      <c r="M146" s="8" t="inlineStr">
        <is>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is>
      </c>
      <c r="N146" s="11" t="inlineStr">
        <is>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is>
      </c>
      <c r="O146" s="8" t="inlineStr">
        <is>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is>
      </c>
      <c r="P146" s="8" t="inlineStr">
        <is>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is>
      </c>
      <c r="Q146" s="8" t="inlineStr">
        <is>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is>
      </c>
      <c r="R146" s="8" t="inlineStr">
        <is>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is>
      </c>
      <c r="S146" s="8" t="inlineStr">
        <is>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is>
      </c>
      <c r="T146" s="3" t="inlineStr">
        <is>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is>
      </c>
      <c r="U146" s="3" t="inlineStr">
        <is>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is>
      </c>
      <c r="V146" s="3" t="inlineStr">
        <is>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is>
      </c>
      <c r="W146" s="3" t="inlineStr">
        <is>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is>
      </c>
      <c r="X146" s="44" t="inlineStr">
        <is>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is>
      </c>
      <c r="Y146" s="3" t="inlineStr">
        <is>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is>
      </c>
      <c r="Z146" s="3" t="inlineStr">
        <is>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is>
      </c>
      <c r="AA146" s="3" t="inlineStr">
        <is>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is>
      </c>
      <c r="AB146" s="3" t="inlineStr">
        <is>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is>
      </c>
      <c r="AC146" s="3" t="inlineStr">
        <is>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is>
      </c>
      <c r="AD146" s="3" t="inlineStr">
        <is>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is>
      </c>
      <c r="AE146" s="3" t="inlineStr">
        <is>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is>
      </c>
      <c r="AF146" s="3" t="inlineStr">
        <is>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is>
      </c>
      <c r="AG146" s="3" t="inlineStr">
        <is>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is>
      </c>
    </row>
    <row r="147">
      <c r="A147" s="15" t="inlineStr">
        <is>
          <t>template</t>
        </is>
      </c>
      <c r="B147" s="15" t="inlineStr">
        <is>
          <t>pos_description</t>
        </is>
      </c>
      <c r="C147" s="10" t="inlineStr">
        <is>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is>
      </c>
      <c r="D147" s="8" t="inlineStr">
        <is>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is>
      </c>
      <c r="E147" s="8" t="inlineStr">
        <is>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is>
      </c>
      <c r="F147" s="10" t="inlineStr">
        <is>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is>
      </c>
      <c r="G147" s="11" t="inlineStr">
        <is>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is>
      </c>
      <c r="H147" s="16" t="inlineStr">
        <is>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is>
      </c>
      <c r="I147" s="11" t="inlineStr">
        <is>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is>
      </c>
      <c r="J147" s="16" t="inlineStr">
        <is>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is>
      </c>
      <c r="K147" s="16" t="inlineStr">
        <is>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is>
      </c>
      <c r="L147" s="8" t="inlineStr">
        <is>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is>
      </c>
      <c r="M147" s="8" t="inlineStr">
        <is>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is>
      </c>
      <c r="N147" s="11" t="inlineStr">
        <is>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is>
      </c>
      <c r="O147" s="8" t="inlineStr">
        <is>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is>
      </c>
      <c r="P147" s="8" t="inlineStr">
        <is>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is>
      </c>
      <c r="Q147" s="8" t="inlineStr">
        <is>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is>
      </c>
      <c r="R147" s="8" t="inlineStr">
        <is>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is>
      </c>
      <c r="S147" s="8" t="inlineStr">
        <is>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is>
      </c>
      <c r="T147" s="3" t="inlineStr">
        <is>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is>
      </c>
      <c r="U147" s="3" t="inlineStr">
        <is>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is>
      </c>
      <c r="V147" s="3" t="inlineStr">
        <is>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is>
      </c>
      <c r="W147" s="3" t="inlineStr">
        <is>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is>
      </c>
      <c r="X147" s="44" t="inlineStr">
        <is>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is>
      </c>
      <c r="Y147" s="3" t="inlineStr">
        <is>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is>
      </c>
      <c r="Z147" s="3" t="inlineStr">
        <is>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is>
      </c>
      <c r="AA147" s="3" t="inlineStr">
        <is>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is>
      </c>
      <c r="AB147" s="3" t="inlineStr">
        <is>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is>
      </c>
      <c r="AC147" s="3" t="inlineStr">
        <is>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is>
      </c>
      <c r="AD147" s="3" t="inlineStr">
        <is>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is>
      </c>
      <c r="AE147" s="3" t="inlineStr">
        <is>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is>
      </c>
      <c r="AF147" s="3" t="inlineStr">
        <is>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is>
      </c>
      <c r="AG147" s="3" t="inlineStr">
        <is>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is>
      </c>
    </row>
    <row r="148" ht="189" customHeight="1">
      <c r="A148" s="15" t="inlineStr">
        <is>
          <t>template</t>
        </is>
      </c>
      <c r="B148" s="15" t="inlineStr">
        <is>
          <t>Climate resilient cities policies description</t>
        </is>
      </c>
      <c r="C148" s="10" t="inlineStr">
        <is>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is>
      </c>
      <c r="D148" s="8" t="inlineStr">
        <is>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is>
      </c>
      <c r="E148" s="8" t="inlineStr">
        <is>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is>
      </c>
      <c r="F148" s="10" t="inlineStr">
        <is>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is>
      </c>
      <c r="G148" s="11" t="inlineStr">
        <is>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is>
      </c>
      <c r="H148" s="16" t="inlineStr">
        <is>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is>
      </c>
      <c r="I148" s="11" t="inlineStr">
        <is>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is>
      </c>
      <c r="J148" s="16" t="inlineStr">
        <is>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is>
      </c>
      <c r="K148" s="16" t="inlineStr">
        <is>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is>
      </c>
      <c r="L148" s="8" t="inlineStr">
        <is>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is>
      </c>
      <c r="M148" s="8" t="inlineStr">
        <is>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is>
      </c>
      <c r="N148" s="11" t="inlineStr">
        <is>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is>
      </c>
      <c r="O148" s="8" t="inlineStr">
        <is>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is>
      </c>
      <c r="P148" s="8" t="inlineStr">
        <is>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is>
      </c>
      <c r="Q148" s="8" t="inlineStr">
        <is>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is>
      </c>
      <c r="R148" s="8" t="inlineStr">
        <is>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is>
      </c>
      <c r="S148" s="8" t="inlineStr">
        <is>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is>
      </c>
      <c r="T148" s="3" t="inlineStr">
        <is>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is>
      </c>
      <c r="U148" s="3" t="inlineStr">
        <is>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is>
      </c>
      <c r="V148" s="3" t="inlineStr">
        <is>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is>
      </c>
      <c r="W148" s="3" t="inlineStr">
        <is>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is>
      </c>
      <c r="X148" s="44" t="inlineStr">
        <is>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is>
      </c>
      <c r="Y148" s="3" t="inlineStr">
        <is>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is>
      </c>
      <c r="Z148" s="3" t="inlineStr">
        <is>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is>
      </c>
      <c r="AA148" s="3" t="inlineStr">
        <is>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is>
      </c>
      <c r="AB148" s="3" t="inlineStr">
        <is>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is>
      </c>
      <c r="AC148" s="3" t="inlineStr">
        <is>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is>
      </c>
      <c r="AD148" s="3" t="inlineStr">
        <is>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is>
      </c>
      <c r="AE148" s="3" t="inlineStr">
        <is>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is>
      </c>
      <c r="AF148" s="3" t="inlineStr">
        <is>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is>
      </c>
      <c r="AG148" s="3" t="inlineStr">
        <is>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is>
      </c>
    </row>
    <row r="149" ht="177.75" customHeight="1">
      <c r="A149" s="48" t="inlineStr">
        <is>
          <t>https://github.com/healthysustainablecities/global-indicators/issues/600</t>
        </is>
      </c>
      <c r="B149" s="9" t="inlineStr">
        <is>
          <t>Normalised Difference Vegetation Index (NDVI)</t>
        </is>
      </c>
      <c r="C149" s="9" t="inlineStr">
        <is>
          <t>Normalised Difference Vegetation Index (NDVI)</t>
        </is>
      </c>
      <c r="D149" s="8" t="inlineStr">
        <is>
          <t>مؤشر اختلاف الغطاء النباتي المعياري (NDVI)</t>
        </is>
      </c>
      <c r="E149" s="8" t="inlineStr">
        <is>
          <t>Índex de Vegetació de Diferència Normalitzada (NDVI)</t>
        </is>
      </c>
      <c r="F149" s="9" t="inlineStr">
        <is>
          <t>归一化植被指数 (NDVI)</t>
        </is>
      </c>
      <c r="G149" s="8" t="inlineStr">
        <is>
          <t>歸一化植被指數 (NDVI)</t>
        </is>
      </c>
      <c r="H149" s="16" t="inlineStr">
        <is>
          <t>Indeks normalizirane razlike vegetacije (NDVI)</t>
        </is>
      </c>
      <c r="I149" s="8" t="inlineStr">
        <is>
          <t>Index normalizovaného rozdílu vegetace (NDVI)</t>
        </is>
      </c>
      <c r="J149" s="16" t="inlineStr">
        <is>
          <t>Normaliseret differensvegetationsindeks (NDVI)</t>
        </is>
      </c>
      <c r="K149" s="16" t="inlineStr">
        <is>
          <t>Genormaliseerde differentie-vegetatie-index (NDVI)</t>
        </is>
      </c>
      <c r="L149" s="8" t="inlineStr">
        <is>
          <t>Normalisoitu differentiaalinen kasvillisuusindeksi (NDVI)</t>
        </is>
      </c>
      <c r="M149" s="8" t="inlineStr">
        <is>
          <t>Indice de végétation par différence normalisée (NDVI)</t>
        </is>
      </c>
      <c r="N149" s="8" t="inlineStr">
        <is>
          <t>Normalisierter Differenzvegetationsindex (NDVI)</t>
        </is>
      </c>
      <c r="O149" s="8" t="inlineStr">
        <is>
          <t>Δείκτης Κανονικοποιημένης Διαφοράς Βλάστησης (NDVI)</t>
        </is>
      </c>
      <c r="P149" s="8" t="inlineStr">
        <is>
          <t>Ma'aunin Bambancin Tsirrai Mai Daidaita (NDVI)</t>
        </is>
      </c>
      <c r="Q149" s="8" t="inlineStr">
        <is>
          <t>नॉर्मलाइज़्ड डिफरेंस वेजिटेशन इंडेक्स (NDVI)</t>
        </is>
      </c>
      <c r="R149" s="8" t="inlineStr">
        <is>
          <t>Indeks Vegetasi Perbedaan Normalisasi (NDVI)</t>
        </is>
      </c>
      <c r="S149" s="8" t="inlineStr">
        <is>
          <t>Indice di vegetazione normalizzato (NDVI)</t>
        </is>
      </c>
      <c r="T149" s="3" t="inlineStr">
        <is>
          <t>正規化植生指数（NDVI）</t>
        </is>
      </c>
      <c r="U149" s="3" t="inlineStr">
        <is>
          <t>정규화 식생지수(NDVI)</t>
        </is>
      </c>
      <c r="V149" s="3" t="inlineStr">
        <is>
          <t>Te Tāurangi Rerekētanga Huawhenua Whakaōrite (NDVI)</t>
        </is>
      </c>
      <c r="W149" s="3" t="inlineStr">
        <is>
          <t>सामान्यीकृत भिन्नता वनस्पति सूचकांक (NDVI)</t>
        </is>
      </c>
      <c r="X149" s="44" t="inlineStr">
        <is>
          <t>شاخص پوشش گیاهی نرمال شده (NDVI)</t>
        </is>
      </c>
      <c r="Y149" s="3" t="inlineStr">
        <is>
          <t>Índice de Vegetação por Diferença Normalizada (NDVI)</t>
        </is>
      </c>
      <c r="Z149" s="3" t="inlineStr">
        <is>
          <t>Índice de Vegetação por Diferença Normalizada (NDVI)</t>
        </is>
      </c>
      <c r="AA149" s="3" t="inlineStr">
        <is>
          <t>Índice de Vegetación de Diferencia Normalizada (NDVI)</t>
        </is>
      </c>
      <c r="AB149" s="3" t="inlineStr">
        <is>
          <t>Índice de Vegetación de Diferencia Normalizada (NDVI)</t>
        </is>
      </c>
      <c r="AC149" s="3" t="inlineStr">
        <is>
          <t>இயல்பாக்கப்பட்ட வேறுபாட்டுத் தாவரக் குறியீடு (NDVI)</t>
        </is>
      </c>
      <c r="AD149" s="3" t="inlineStr">
        <is>
          <t>ดัชนีความแตกต่างของพืชพรรณแบบนอร์มาไลซ์ (NDVI)</t>
        </is>
      </c>
      <c r="AE149" s="3" t="inlineStr">
        <is>
          <t>Normalleştirilmiş Fark Bitki Örtüsü İndeksi (NDVI)</t>
        </is>
      </c>
      <c r="AF149" s="3" t="inlineStr">
        <is>
          <t>Індекс нормалізованої різниці рослинності (NDVI)</t>
        </is>
      </c>
      <c r="AG149" s="3" t="inlineStr">
        <is>
          <t>Chỉ số thực vật khác biệt chuẩn hóa (NDVI)</t>
        </is>
      </c>
    </row>
    <row r="150" ht="145.5" customHeight="1">
      <c r="A150" s="48" t="inlineStr">
        <is>
          <t>https://github.com/healthysustainablecities/global-indicators/issues/600</t>
        </is>
      </c>
      <c r="B150" s="3" t="inlineStr">
        <is>
          <t>Public green space</t>
        </is>
      </c>
      <c r="C150" s="9" t="inlineStr">
        <is>
          <t>Public green space</t>
        </is>
      </c>
      <c r="D150" s="8" t="inlineStr">
        <is>
          <t>مساحة خضراء عامة واسعة</t>
        </is>
      </c>
      <c r="E150" s="8" t="inlineStr">
        <is>
          <t>Gran espai verd públic</t>
        </is>
      </c>
      <c r="F150" s="9" t="inlineStr">
        <is>
          <t>大型公共绿地</t>
        </is>
      </c>
      <c r="G150" s="8" t="inlineStr">
        <is>
          <t>大型公共綠地</t>
        </is>
      </c>
      <c r="H150" s="16" t="inlineStr">
        <is>
          <t>Veliki javni zeleni prostor</t>
        </is>
      </c>
      <c r="I150" s="8" t="inlineStr">
        <is>
          <t>Rozsáhlé veřejné zelené plochy</t>
        </is>
      </c>
      <c r="J150" s="16" t="inlineStr">
        <is>
          <t>Stort offentligt grønt område</t>
        </is>
      </c>
      <c r="K150" s="16" t="inlineStr">
        <is>
          <t>Grote openbare groene ruimte</t>
        </is>
      </c>
      <c r="L150" s="8" t="inlineStr">
        <is>
          <t>Suuri julkinen viheralue</t>
        </is>
      </c>
      <c r="M150" s="8" t="inlineStr">
        <is>
          <t>Grand espace vert public</t>
        </is>
      </c>
      <c r="N150" s="8" t="inlineStr">
        <is>
          <t>Große öffentliche Grünfläche</t>
        </is>
      </c>
      <c r="O150" s="8" t="inlineStr">
        <is>
          <t>Μεγάλος δημόσιος χώρος πρασίνου</t>
        </is>
      </c>
      <c r="P150" s="8" t="inlineStr">
        <is>
          <t>Babban sarari mai kore ga jama'a</t>
        </is>
      </c>
      <c r="Q150" s="8" t="inlineStr">
        <is>
          <t>बड़ी पब्लिक ग्रीन स्पेस</t>
        </is>
      </c>
      <c r="R150" s="8" t="inlineStr">
        <is>
          <t>Ruang hijau publik yang luas</t>
        </is>
      </c>
      <c r="S150" s="8" t="inlineStr">
        <is>
          <t>Ampio spazio verde pubblico</t>
        </is>
      </c>
      <c r="T150" s="3" t="inlineStr">
        <is>
          <t>大規模な公共緑地</t>
        </is>
      </c>
      <c r="U150" s="3" t="inlineStr">
        <is>
          <t>대규모 공공 녹지 공간</t>
        </is>
      </c>
      <c r="V150" s="3" t="inlineStr">
        <is>
          <t>Wāhi matomato tūmatanui nui</t>
        </is>
      </c>
      <c r="W150" s="3" t="inlineStr">
        <is>
          <t>ठूला सार्वजनिक हरियो ठाउँ</t>
        </is>
      </c>
      <c r="X150" s="44" t="inlineStr">
        <is>
          <t>فضای سبز عمومی بزرگ</t>
        </is>
      </c>
      <c r="Y150" s="3" t="inlineStr">
        <is>
          <t>Grandes espaços verdes públicos</t>
        </is>
      </c>
      <c r="Z150" s="3" t="inlineStr">
        <is>
          <t>Grandes espaços verdes públicos</t>
        </is>
      </c>
      <c r="AA150" s="3" t="inlineStr">
        <is>
          <t>Grandes espacios verdes públicos</t>
        </is>
      </c>
      <c r="AB150" s="3" t="inlineStr">
        <is>
          <t>Grandes espacios verdes públicos</t>
        </is>
      </c>
      <c r="AC150" s="3" t="inlineStr">
        <is>
          <t>பெரிய பொதுப் பசுமை வெளி</t>
        </is>
      </c>
      <c r="AD150" s="3" t="inlineStr">
        <is>
          <t>พื้นที่สีเขียวสาธารณะขนาดใหญ่</t>
        </is>
      </c>
      <c r="AE150" s="3" t="inlineStr">
        <is>
          <t>Büyük kamusal yeşil alan</t>
        </is>
      </c>
      <c r="AF150" s="3" t="inlineStr">
        <is>
          <t>Великі громадські зелені зони</t>
        </is>
      </c>
      <c r="AG150" s="3" t="inlineStr">
        <is>
          <t>Không gian xanh công cộng rộng lớn</t>
        </is>
      </c>
    </row>
    <row r="151" ht="30" customHeight="1">
      <c r="A151" s="47" t="inlineStr">
        <is>
          <t>https://github.com/healthysustainablecities/global-indicators/issues/600</t>
        </is>
      </c>
      <c r="B151" s="3" t="inlineStr">
        <is>
          <t>Access within 400m</t>
        </is>
      </c>
      <c r="C151" s="9" t="inlineStr">
        <is>
          <t>Access within 400m</t>
        </is>
      </c>
      <c r="D151" s="8" t="inlineStr">
        <is>
          <t>إمكانية الوصول إليها في نطاق 500 متر</t>
        </is>
      </c>
      <c r="E151" s="8" t="inlineStr">
        <is>
          <t>Accés a menys de 500 m</t>
        </is>
      </c>
      <c r="F151" s="9" t="inlineStr">
        <is>
          <t>500 米范围内可达</t>
        </is>
      </c>
      <c r="G151" s="8" t="inlineStr">
        <is>
          <t>500 公尺範圍內可達</t>
        </is>
      </c>
      <c r="H151" s="16" t="inlineStr">
        <is>
          <t>Pristup unutar 500 m</t>
        </is>
      </c>
      <c r="I151" s="8" t="inlineStr">
        <is>
          <t>Přístup do 500 m</t>
        </is>
      </c>
      <c r="J151" s="16" t="inlineStr">
        <is>
          <t>Adgang inden for 500 m</t>
        </is>
      </c>
      <c r="K151" s="16" t="inlineStr">
        <is>
          <t>Toegang binnen 500 m</t>
        </is>
      </c>
      <c r="L151" s="8" t="inlineStr">
        <is>
          <t>Pääsy 500 metrin säteellä</t>
        </is>
      </c>
      <c r="M151" s="8" t="inlineStr">
        <is>
          <t>Accès à moins de 500 m</t>
        </is>
      </c>
      <c r="N151" s="8" t="inlineStr">
        <is>
          <t>Zugang innerhalb von 500 m</t>
        </is>
      </c>
      <c r="O151" s="8" t="inlineStr">
        <is>
          <t>Πρόσβαση σε απόσταση 500 μέτρων</t>
        </is>
      </c>
      <c r="P151" s="8" t="inlineStr">
        <is>
          <t>Samun dama a cikin mita 500</t>
        </is>
      </c>
      <c r="Q151" s="8" t="inlineStr">
        <is>
          <t>500m के अंदर एक्सेस</t>
        </is>
      </c>
      <c r="R151" s="8" t="inlineStr">
        <is>
          <t>Akses dalam radius 500m</t>
        </is>
      </c>
      <c r="S151" s="8" t="inlineStr">
        <is>
          <t>Accesso entro 500 m</t>
        </is>
      </c>
      <c r="T151" s="3" t="inlineStr">
        <is>
          <t>500m以内のアクセス</t>
        </is>
      </c>
      <c r="U151" s="3" t="inlineStr">
        <is>
          <t>500m 이내 접근성</t>
        </is>
      </c>
      <c r="V151" s="3" t="inlineStr">
        <is>
          <t>Te urunga atu i roto i te 500m</t>
        </is>
      </c>
      <c r="W151" s="3" t="inlineStr">
        <is>
          <t>५०० मिटर भित्र पहुँच</t>
        </is>
      </c>
      <c r="X151" s="44" t="inlineStr">
        <is>
          <t>دسترسی در محدوده ۵۰۰ متری</t>
        </is>
      </c>
      <c r="Y151" s="3" t="inlineStr">
        <is>
          <t>Acesso a menos de 500 m</t>
        </is>
      </c>
      <c r="Z151" s="3" t="inlineStr">
        <is>
          <t>Acesso a menos de 500 m</t>
        </is>
      </c>
      <c r="AA151" s="3" t="inlineStr">
        <is>
          <t>Acceso a menos de 500 m</t>
        </is>
      </c>
      <c r="AB151" s="3" t="inlineStr">
        <is>
          <t>Acceso a menos de 500 m</t>
        </is>
      </c>
      <c r="AC151" s="3" t="inlineStr">
        <is>
          <t>500 மீட்டருக்குள் அணுகல்</t>
        </is>
      </c>
      <c r="AD151" s="3" t="inlineStr">
        <is>
          <t>การเข้าถึงภายใน 500 เมตร</t>
        </is>
      </c>
      <c r="AE151" s="3" t="inlineStr">
        <is>
          <t>500 m içinde erişim</t>
        </is>
      </c>
      <c r="AF151" s="3" t="inlineStr">
        <is>
          <t>Доступ у межах 500 м</t>
        </is>
      </c>
      <c r="AG151" s="3" t="inlineStr">
        <is>
          <t>Phạm vi tiếp cận trong vòng 500m</t>
        </is>
      </c>
    </row>
    <row r="152">
      <c r="A152" s="47" t="inlineStr">
        <is>
          <t>https://github.com/healthysustainablecities/global-indicators/issues/600</t>
        </is>
      </c>
      <c r="B152" s="3" t="inlineStr">
        <is>
          <t>Land Surface Temperature</t>
        </is>
      </c>
      <c r="C152" s="9" t="inlineStr">
        <is>
          <t>Land Surface Temperature ({units})</t>
        </is>
      </c>
      <c r="D152" s="8" t="inlineStr">
        <is>
          <t>درجة حرارة سطح الأرض ({units})</t>
        </is>
      </c>
      <c r="E152" s="8" t="inlineStr">
        <is>
          <t>Temperatura de la superfície terrestre ({units})</t>
        </is>
      </c>
      <c r="F152" s="9" t="inlineStr">
        <is>
          <t>地表温度（{units}）</t>
        </is>
      </c>
      <c r="G152" s="8" t="inlineStr">
        <is>
          <t>地表溫度（{units}）</t>
        </is>
      </c>
      <c r="H152" s="16" t="inlineStr">
        <is>
          <t>Temperatura površine tla ({units})</t>
        </is>
      </c>
      <c r="I152" s="8" t="inlineStr">
        <is>
          <t>Teplota povrchu země ({units})</t>
        </is>
      </c>
      <c r="J152" s="16" t="inlineStr">
        <is>
          <t>Jordoverfladetemperatur ({units})</t>
        </is>
      </c>
      <c r="K152" s="16" t="inlineStr">
        <is>
          <t>Landoppervlaktetemperatuur ({units})</t>
        </is>
      </c>
      <c r="L152" s="8" t="inlineStr">
        <is>
          <t>Maanpinnan lämpötila ({units})</t>
        </is>
      </c>
      <c r="M152" s="8" t="inlineStr">
        <is>
          <t>Température de surface du sol (units)</t>
        </is>
      </c>
      <c r="N152" s="8" t="inlineStr">
        <is>
          <t>Landoberflächentemperatur (units)</t>
        </is>
      </c>
      <c r="O152" s="8" t="inlineStr">
        <is>
          <t>Θερμοκρασία Επιφάνειας Γης ({units})</t>
        </is>
      </c>
      <c r="P152" s="8" t="inlineStr">
        <is>
          <t>Zafin Ƙasa ({units})</t>
        </is>
      </c>
      <c r="Q152" s="8" t="inlineStr">
        <is>
          <t>ज़मीन की सतह का टेम्परेचर ({units})</t>
        </is>
      </c>
      <c r="R152" s="8" t="inlineStr">
        <is>
          <t>Suhu Permukaan Tanah ({units})</t>
        </is>
      </c>
      <c r="S152" s="8" t="inlineStr">
        <is>
          <t>Temperatura della superficie del suolo ({unità})</t>
        </is>
      </c>
      <c r="T152" s="3" t="inlineStr">
        <is>
          <t>地表面温度（{units}）</t>
        </is>
      </c>
      <c r="U152" s="3" t="inlineStr">
        <is>
          <t>지표면 온도({units})</t>
        </is>
      </c>
      <c r="V152" s="3" t="inlineStr">
        <is>
          <t>Te Pāmahana o te Mata Whenua ({units})</t>
        </is>
      </c>
      <c r="W152" s="3" t="inlineStr">
        <is>
          <t>जमिनको सतहको तापक्रम ({units})</t>
        </is>
      </c>
      <c r="X152" s="44" t="inlineStr">
        <is>
          <t>دمای سطح زمین ({units})</t>
        </is>
      </c>
      <c r="Y152" s="3" t="inlineStr">
        <is>
          <t>Temperatura da superfície terrestre (units)</t>
        </is>
      </c>
      <c r="Z152" s="3" t="inlineStr">
        <is>
          <t>Temperatura da superfície terrestre (units)</t>
        </is>
      </c>
      <c r="AA152" s="3" t="inlineStr">
        <is>
          <t>Temperatura de la superficie terrestre (units)</t>
        </is>
      </c>
      <c r="AB152" s="3" t="inlineStr">
        <is>
          <t>Temperatura de la superficie terrestre (units)</t>
        </is>
      </c>
      <c r="AC152" s="3" t="inlineStr">
        <is>
          <t>நில மேற்பரப்பு வெப்பநிலை ({units})</t>
        </is>
      </c>
      <c r="AD152" s="3" t="inlineStr">
        <is>
          <t>อุณหภูมิพื้นผิว ({units})</t>
        </is>
      </c>
      <c r="AE152" s="3" t="inlineStr">
        <is>
          <t>Yüzey Sıcaklığı ({units})</t>
        </is>
      </c>
      <c r="AF152" s="3" t="inlineStr">
        <is>
          <t>Температура поверхні землі ({units})</t>
        </is>
      </c>
      <c r="AG152" s="3" t="inlineStr">
        <is>
          <t>Nhiệt độ bề mặt đất ({units})</t>
        </is>
      </c>
    </row>
    <row r="153">
      <c r="A153" s="47" t="inlineStr">
        <is>
          <t>https://github.com/healthysustainablecities/global-indicators/issues/600</t>
        </is>
      </c>
      <c r="B153" s="15" t="inlineStr">
        <is>
          <t>green_space_header</t>
        </is>
      </c>
      <c r="C153" s="10" t="inlineStr">
        <is>
          <t>Vegetation cover</t>
        </is>
      </c>
      <c r="D153" s="8" t="inlineStr">
        <is>
          <t>الغطاء النباتي</t>
        </is>
      </c>
      <c r="E153" s="8" t="inlineStr">
        <is>
          <t>Cobertura vegetal</t>
        </is>
      </c>
      <c r="F153" s="10" t="inlineStr">
        <is>
          <t>植被覆盖度</t>
        </is>
      </c>
      <c r="G153" s="11" t="inlineStr">
        <is>
          <t>植被覆蓋度</t>
        </is>
      </c>
      <c r="H153" s="16" t="inlineStr">
        <is>
          <t>Vegetacijski pokrov</t>
        </is>
      </c>
      <c r="I153" s="11" t="inlineStr">
        <is>
          <t>Vegetační kryt</t>
        </is>
      </c>
      <c r="J153" s="16" t="inlineStr">
        <is>
          <t>Vegetationsdække</t>
        </is>
      </c>
      <c r="K153" s="16" t="inlineStr">
        <is>
          <t>Vegetatiebedekking</t>
        </is>
      </c>
      <c r="L153" s="8" t="inlineStr">
        <is>
          <t>Kasvillisuuspeite</t>
        </is>
      </c>
      <c r="M153" s="8" t="inlineStr">
        <is>
          <t>Couverture végétale</t>
        </is>
      </c>
      <c r="N153" s="11" t="inlineStr">
        <is>
          <t>Vegetationsbedeckung</t>
        </is>
      </c>
      <c r="O153" s="8" t="inlineStr">
        <is>
          <t>Κάλυψη βλάστησης</t>
        </is>
      </c>
      <c r="P153" s="8" t="inlineStr">
        <is>
          <t>Murfin Lambu</t>
        </is>
      </c>
      <c r="Q153" s="8" t="inlineStr">
        <is>
          <t>वेजिटेशन कवर</t>
        </is>
      </c>
      <c r="R153" s="8" t="inlineStr">
        <is>
          <t>Tutupan vegetasi</t>
        </is>
      </c>
      <c r="S153" s="8" t="inlineStr">
        <is>
          <t>Copertura vegetale</t>
        </is>
      </c>
      <c r="T153" s="3" t="inlineStr">
        <is>
          <t>植被率</t>
        </is>
      </c>
      <c r="U153" s="3" t="inlineStr">
        <is>
          <t>식생 피복률</t>
        </is>
      </c>
      <c r="V153" s="3" t="inlineStr">
        <is>
          <t>Te Taupoki Huawhenua</t>
        </is>
      </c>
      <c r="W153" s="3" t="inlineStr">
        <is>
          <t>वनस्पति कभर</t>
        </is>
      </c>
      <c r="X153" s="44" t="inlineStr">
        <is>
          <t>پوشش گیاهی</t>
        </is>
      </c>
      <c r="Y153" s="3" t="inlineStr">
        <is>
          <t>Cobertura vegetal</t>
        </is>
      </c>
      <c r="Z153" s="3" t="inlineStr">
        <is>
          <t>Cobertura vegetal</t>
        </is>
      </c>
      <c r="AA153" s="3" t="inlineStr">
        <is>
          <t>Cobertura vegetal</t>
        </is>
      </c>
      <c r="AB153" s="3" t="inlineStr">
        <is>
          <t>Cobertura vegetal</t>
        </is>
      </c>
      <c r="AC153" s="3" t="inlineStr">
        <is>
          <t>தாவரப் பரப்பு</t>
        </is>
      </c>
      <c r="AD153" s="3" t="inlineStr">
        <is>
          <t>ความหนาแน่นของพืชพรรณ</t>
        </is>
      </c>
      <c r="AE153" s="3" t="inlineStr">
        <is>
          <t>Bitki örtüsü</t>
        </is>
      </c>
      <c r="AF153" s="3" t="inlineStr">
        <is>
          <t>Рослинний покрив</t>
        </is>
      </c>
      <c r="AG153" s="3" t="inlineStr">
        <is>
          <t>Độ che phủ thực vật</t>
        </is>
      </c>
    </row>
    <row r="154">
      <c r="A154" s="47" t="inlineStr">
        <is>
          <t>https://github.com/healthysustainablecities/global-indicators/issues/600</t>
        </is>
      </c>
      <c r="B154" s="15" t="inlineStr">
        <is>
          <t>green_space_description</t>
        </is>
      </c>
      <c r="C154" s="10" t="inlineStr">
        <is>
          <t xml:space="preserve">Public green spaces can provide multiple health and environmental co-benefits by mitigating urban heat, improving air quality and biodiversity, and promoting physical activity, social interactions, and mental wellbeing. </t>
        </is>
      </c>
      <c r="D154" s="8" t="inlineStr">
        <is>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is>
      </c>
      <c r="E154" s="8" t="inlineStr">
        <is>
          <t>Els grans espais verds públics poden proporcionar múltiples beneficis colaterals per a la salut i el medi ambient, mitigant la calor urbana, millorant la qualitat de l'aire i la biodiversitat, i promovent l'activitat física, les interaccions socials i el benestar mental.</t>
        </is>
      </c>
      <c r="F154" s="10" t="inlineStr">
        <is>
          <t>大型公共绿地能够缓解城市热岛效应、改善空气质量和生物多样性，并促进身体活动、社交互动和心理健康，从而带来多重健康和环境效益。</t>
        </is>
      </c>
      <c r="G154" s="11" t="inlineStr">
        <is>
          <t>大型公共綠地能夠緩解城市熱島效應、改善空氣品質和生物多樣性，並促進身體活動、社交互動和心理健康，從而帶來多重健康和環境效益。</t>
        </is>
      </c>
      <c r="H154" s="16" t="inlineStr">
        <is>
          <t>Veliki javni zeleni prostori mogu pružiti višestruke zdravstvene i ekološke koristi ublažavanjem urbane vrućine, poboljšanjem kvalitete zraka i bioraznolikosti te promicanjem tjelesne aktivnosti, društvenih interakcija i mentalnog blagostanja.</t>
        </is>
      </c>
      <c r="I154" s="11" t="inlineStr">
        <is>
          <t>Rozsáhlé veřejné zelené plochy mohou přinést řadu zdravotních a environmentálních výhod zmírněním městského tepla, zlepšením kvality ovzduší a biodiverzity a podporou fyzické aktivity, sociálních interakcí a duševní pohody.</t>
        </is>
      </c>
      <c r="J154" s="16" t="inlineStr">
        <is>
          <t>Store offentlige grønne områder kan give flere sundhedsmæssige og miljømæssige sidegevinster ved at afbøde byvarme, forbedre luftkvaliteten og biodiversiteten samt fremme fysisk aktivitet, sociale interaktioner og mental velvære.</t>
        </is>
      </c>
      <c r="K154" s="16" t="inlineStr">
        <is>
          <t>Grote openbare groene ruimtes kunnen meerdere gezondheids- en milieuvoordelen bieden door stedelijke hitte te verminderen, de luchtkwaliteit en biodiversiteit te verbeteren en fysieke activiteit, sociale interacties en mentaal welzijn te bevorderen.</t>
        </is>
      </c>
      <c r="L154" s="8" t="inlineStr">
        <is>
          <t>Suuret julkiset viheralueet voivat tarjota useita terveys- ja ympäristöhyötyjä lieventämällä kaupunkien kuumuutta, parantamalla ilmanlaatua ja biologista monimuotoisuutta sekä edistämällä fyysistä aktiivisuutta, sosiaalista vuorovaikutusta ja henkistä hyvinvointia.</t>
        </is>
      </c>
      <c r="M154" s="8" t="inlineStr">
        <is>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is>
      </c>
      <c r="N154" s="11" t="inlineStr">
        <is>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is>
      </c>
      <c r="O154" s="8" t="inlineStr">
        <is>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is>
      </c>
      <c r="P154" s="8" t="inlineStr">
        <is>
          <t>Manyan wurare masu kore ga jama'a na iya samar da fa'idodi da yawa na lafiya da muhalli ta hanyar rage zafin birni, inganta ingancin iska da bambancin halittu, da kuma haɓaka motsa jiki, hulɗar zamantakewa, da walwalar kwakwalwa.</t>
        </is>
      </c>
      <c r="Q154" s="8" t="inlineStr">
        <is>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is>
      </c>
      <c r="R154" s="8" t="inlineStr">
        <is>
          <t>Ruang hijau publik yang luas dapat memberikan berbagai manfaat kesehatan dan lingkungan dengan mengurangi panas perkotaan, meningkatkan kualitas udara dan keanekaragaman hayati, serta mendorong aktivitas fisik, interaksi sosial, dan kesejahteraan mental.</t>
        </is>
      </c>
      <c r="S154" s="8" t="inlineStr">
        <is>
          <t>Gli ampi spazi verdi pubblici possono offrire molteplici benefici collaterali per la salute e l'ambiente, mitigando il calore urbano, migliorando la qualità dell'aria e la biodiversità e promuovendo l'attività fisica, le interazioni sociali e il benessere mentale.</t>
        </is>
      </c>
      <c r="T154" s="3" t="inlineStr">
        <is>
          <t>大規模な公共緑地は、都市部のヒートアイランド現象の緩和、大気質と生物多様性の向上、身体活動、社会交流、精神的健康の促進など、健康面と環境面で多岐にわたる副次的効果をもたらします。</t>
        </is>
      </c>
      <c r="U154" s="3" t="inlineStr">
        <is>
          <t>대규모 공공 녹지 공간은 도시 열섬 현상 완화, 대기 질 및 생물 다양성 개선, 신체 활동 증진, 사회적 교류 및 정신 건강 증진을 통해 다양한 건강 및 환경적 이점을 제공할 수 있습니다.</t>
        </is>
      </c>
      <c r="V154" s="3" t="inlineStr">
        <is>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is>
      </c>
      <c r="W154" s="3" t="inlineStr">
        <is>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is>
      </c>
      <c r="X154" s="44" t="inlineStr">
        <is>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is>
      </c>
      <c r="Y154" s="3" t="inlineStr">
        <is>
          <t>Grandes espaços verdes públicos podem proporcionar múltiplos benefícios para a saúde e o meio ambiente, mitigando o calor urbano, melhorando a qualidade do ar e a biodiversidade, e promovendo atividade física, interações sociais e bem-estar mental.</t>
        </is>
      </c>
      <c r="Z154" s="3" t="inlineStr">
        <is>
          <t>Os grandes espaços verdes públicos podem proporcionar múltiplos benefícios para a saúde e para o ambiente, mitigando o calor urbano, melhorando a qualidade do ar e a biodiversidade, e promovendo a atividade física, as interações sociais e o bem-estar mental.</t>
        </is>
      </c>
      <c r="AA154"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B154"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C154" s="3" t="inlineStr">
        <is>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is>
      </c>
      <c r="AD154" s="3" t="inlineStr">
        <is>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is>
      </c>
      <c r="AE154" s="3" t="inlineStr">
        <is>
          <t>Büyük kamusal yeşil alanlar, kentsel ısıyı azaltarak, hava kalitesini ve biyoçeşitliliği iyileştirerek ve fiziksel aktiviteyi, sosyal etkileşimleri ve zihinsel refahı teşvik ederek çok sayıda sağlık ve çevresel fayda sağlayabilir.</t>
        </is>
      </c>
      <c r="AF154" s="3" t="inlineStr">
        <is>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is>
      </c>
      <c r="AG154" s="3" t="inlineStr">
        <is>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is>
      </c>
    </row>
    <row r="155">
      <c r="A155" s="47" t="inlineStr">
        <is>
          <t>https://github.com/healthysustainablecities/global-indicators/issues/600</t>
        </is>
      </c>
      <c r="B155" s="15" t="inlineStr">
        <is>
          <t>overall_greenery_label</t>
        </is>
      </c>
      <c r="C155" s="10" t="inlineStr">
        <is>
          <t>{percent} of land area in {city_name} meets the vegetation threshold of annual average NDVI ≥ 0.2</t>
        </is>
      </c>
      <c r="D155" s="8" t="inlineStr">
        <is>
          <t>{percent} من مساحة أراضي منطقة الدراسة تستوفي عتبة الغطاء النباتي لمتوسط ​​مؤشر الغطاء النباتي السنوي NDVI ≥ 0.2</t>
        </is>
      </c>
      <c r="E155" s="8" t="inlineStr">
        <is>
          <t>{percent} de la superfície terrestre de la regió d'estudi compleix el llindar de vegetació d'un NDVI mitjà anual ≥ 0,2</t>
        </is>
      </c>
      <c r="F155" s="10" t="inlineStr">
        <is>
          <t>研究区域内 {percent} 的土地面积满足年平均 NDVI ≥ 0.2 的植被阈值</t>
        </is>
      </c>
      <c r="G155" s="11" t="inlineStr">
        <is>
          <t>研究區域內 {percent} 的土地面積滿足年平均 NDVI ≥ 0.2 的植被閾值</t>
        </is>
      </c>
      <c r="H155" s="16" t="inlineStr">
        <is>
          <t>{percent} površine proučavane regije zadovoljava vegetacijski prag prosječnog godišnjeg NDVI ≥ 0,2</t>
        </is>
      </c>
      <c r="I155" s="11" t="inlineStr">
        <is>
          <t>{percent} rozlohy studovaného regionu splňuje vegetační práh průměrného ročního NDVI ≥ 0,2</t>
        </is>
      </c>
      <c r="J155" s="16" t="inlineStr">
        <is>
          <t>{percent} af studieregionens landareal opfylder vegetationstærsklen for en årlig gennemsnitlig NDVI ≥ 0,2</t>
        </is>
      </c>
      <c r="K155" s="16" t="inlineStr">
        <is>
          <t>{percent} van het landoppervlak van het onderzoeksgebied voldoet aan de vegetatiedrempel van een jaarlijkse gemiddelde NDVI ≥ 0,2</t>
        </is>
      </c>
      <c r="L155" s="8" t="inlineStr">
        <is>
          <t>{prosenttia} tutkimusalueen maa-alueesta täyttää kasvillisuuden kynnysarvon, joka on vuosittainen keskimääräinen NDVI ≥ 0,2</t>
        </is>
      </c>
      <c r="M155" s="8" t="inlineStr">
        <is>
          <t>{pourcentage} de la superficie de la région étudiée atteint le seuil de végétation d'un NDVI moyen annuel ≥ 0,2.</t>
        </is>
      </c>
      <c r="N155" s="11" t="inlineStr">
        <is>
          <t>{percent} der Landfläche des Untersuchungsgebiets erfüllt den Vegetationsschwellenwert von einem jährlichen durchschnittlichen NDVI ≥ 0,2.</t>
        </is>
      </c>
      <c r="O155" s="8" t="inlineStr">
        <is>
          <t>{percent} της έκτασης της περιοχής μελέτης πληροί το όριο βλάστησης του ετήσιου μέσου NDVI ≥ 0,2</t>
        </is>
      </c>
      <c r="P155" s="8" t="inlineStr">
        <is>
          <t>{percent} na yankin da aka yi nazari, yankin ƙasa ya cika ƙa'idar ciyayi na matsakaicin NDVI na shekara-shekara ≥ 0.2</t>
        </is>
      </c>
      <c r="Q155" s="8" t="inlineStr">
        <is>
          <t>स्टडी एरिया का {percent} ज़मीन का एरिया सालाना औसत NDVI ≥ 0.2 की पेड़-पौधों की लिमिट को पूरा करता है।</t>
        </is>
      </c>
      <c r="R155" s="8" t="inlineStr">
        <is>
          <t>{percent} dari luas lahan wilayah studi memenuhi ambang batas vegetasi dengan rata-rata tahunan NDVI ≥ 0,2</t>
        </is>
      </c>
      <c r="S155" s="8" t="inlineStr">
        <is>
          <t>Il {percent} della superficie terrestre della regione di studio soddisfa la soglia di vegetazione con un NDVI medio annuo ≥ 0,2</t>
        </is>
      </c>
      <c r="T155" s="3" t="inlineStr">
        <is>
          <t>調査対象地域の土地面積の{percent}が、年間平均NDVI≧0.2の植生基準を満たしている。</t>
        </is>
      </c>
      <c r="U155" s="3" t="inlineStr">
        <is>
          <t>연구 지역 토지 면적의 {percent}가 연평균 NDVI ≥ 0.2의 식생 기준을 충족합니다.</t>
        </is>
      </c>
      <c r="V155" s="3" t="inlineStr">
        <is>
          <t>{percent} o te rohe rangahau whenua e tutuki ana i te paepae tipu o te toharite ā-tau NDVI ≥ 0.2</t>
        </is>
      </c>
      <c r="W155" s="3" t="inlineStr">
        <is>
          <t>अध्ययन क्षेत्रको {percent} भू-क्षेत्रफलले वार्षिक औसत NDVI ≥ ०.२ को वनस्पति सीमा पूरा गर्दछ</t>
        </is>
      </c>
      <c r="X155" s="44" t="inlineStr">
        <is>
          <t>{percent} از مساحت منطقه مورد مطالعه، آستانه پوشش گیاهی میانگین سالانه NDVI ≥ 0.2 را برآورده می‌کند.</t>
        </is>
      </c>
      <c r="Y155" s="3" t="inlineStr">
        <is>
          <t>{percent} da área terrestre da região de estudo atende ao limiar de vegetação de NDVI médio anual ≥ 0,2</t>
        </is>
      </c>
      <c r="Z155" s="3" t="inlineStr">
        <is>
          <t>{percent} da área terrestre da região de estudo cumpre o limiar de vegetação de NDVI médio anual ≥ 0,2</t>
        </is>
      </c>
      <c r="AA155" s="3" t="inlineStr">
        <is>
          <t>{percent} de la superficie terrestre de la región de estudio cumple con el umbral de vegetación de un NDVI promedio anual ≥ 0,2.</t>
        </is>
      </c>
      <c r="AB155" s="3" t="inlineStr">
        <is>
          <t>{percent} de la superficie terrestre de la región de estudio cumple con el umbral de vegetación de un NDVI promedio anual ≥ 0,2.</t>
        </is>
      </c>
      <c r="AC155" s="3" t="inlineStr">
        <is>
          <t>ஆய்வுப் பிராந்திய நிலப்பரப்பில் {percent} ஆண்டு சராசரி NDVI ≥ 0.2 என்ற தாவர வரம்பைப் பூர்த்தி செய்கிறது</t>
        </is>
      </c>
      <c r="AD155" s="3" t="inlineStr">
        <is>
          <t>{percent} ของพื้นที่ศึกษาตรงตามเกณฑ์พืชพรรณของค่าเฉลี่ย NDVI รายปี ≥ 0.2</t>
        </is>
      </c>
      <c r="AE155" s="3" t="inlineStr">
        <is>
          <t>Çalışma bölgesinin arazi alanının {percent}'si yıllık ortalama NDVI ≥ 0,2 bitki örtüsü eşiğini karşılıyor.</t>
        </is>
      </c>
      <c r="AF155" s="3" t="inlineStr">
        <is>
          <t>{percent} площі досліджуваного регіону відповідає порогу рослинності середньорічного NDVI ≥ 0,2</t>
        </is>
      </c>
      <c r="AG155" s="3" t="inlineStr">
        <is>
          <t>{percent} diện tích đất vùng nghiên cứu đáp ứng ngưỡng thảm thực vật với chỉ số NDVI trung bình hàng năm ≥ 0,2</t>
        </is>
      </c>
    </row>
    <row r="156" ht="135" customHeight="1">
      <c r="A156" s="47" t="inlineStr">
        <is>
          <t>https://github.com/healthysustainablecities/global-indicators/issues/600</t>
        </is>
      </c>
      <c r="B156" s="15" t="inlineStr">
        <is>
          <t>pugs_header</t>
        </is>
      </c>
      <c r="C156" s="10" t="inlineStr">
        <is>
          <t>Public green space access</t>
        </is>
      </c>
      <c r="D156" s="8" t="inlineStr">
        <is>
          <t>إمكانية الوصول إلى مساحات خضراء عامة واسعة</t>
        </is>
      </c>
      <c r="E156" s="8" t="inlineStr">
        <is>
          <t>Accés a grans espais verds públics</t>
        </is>
      </c>
      <c r="F156" s="10" t="inlineStr">
        <is>
          <t>大型公共绿地可达性</t>
        </is>
      </c>
      <c r="G156" s="11" t="inlineStr">
        <is>
          <t>大型公共綠地可及性</t>
        </is>
      </c>
      <c r="H156" s="16" t="inlineStr">
        <is>
          <t>Pristup velikim javnim zelenim površinama</t>
        </is>
      </c>
      <c r="I156" s="11" t="inlineStr">
        <is>
          <t>Přístup k velkým veřejným zeleným plochám</t>
        </is>
      </c>
      <c r="J156" s="16" t="inlineStr">
        <is>
          <t>Adgang til store offentlige grønne områder</t>
        </is>
      </c>
      <c r="K156" s="16" t="inlineStr">
        <is>
          <t>Toegang tot grote openbare groene ruimten</t>
        </is>
      </c>
      <c r="L156" s="8" t="inlineStr">
        <is>
          <t>Suurten julkisten viheralueiden käyttöoikeus</t>
        </is>
      </c>
      <c r="M156" s="8" t="inlineStr">
        <is>
          <t>Accès à de grands espaces verts publics</t>
        </is>
      </c>
      <c r="N156" s="11" t="inlineStr">
        <is>
          <t>Zugang zu großen öffentlichen Grünflächen</t>
        </is>
      </c>
      <c r="O156" s="8" t="inlineStr">
        <is>
          <t>Πρόσβαση σε μεγάλους δημόσιους χώρους πρασίνου</t>
        </is>
      </c>
      <c r="P156" s="8" t="inlineStr">
        <is>
          <t>Babban damar shiga sararin kore na jama'a</t>
        </is>
      </c>
      <c r="Q156" s="8" t="inlineStr">
        <is>
          <t>बड़े पब्लिक ग्रीन स्पेस तक पहुँच</t>
        </is>
      </c>
      <c r="R156" s="8" t="inlineStr">
        <is>
          <t>Akses ruang hijau publik yang luas</t>
        </is>
      </c>
      <c r="S156" s="8" t="inlineStr">
        <is>
          <t>Accesso a grandi spazi verdi pubblici</t>
        </is>
      </c>
      <c r="T156" s="3" t="inlineStr">
        <is>
          <t>大規模公共緑地へのアクセス</t>
        </is>
      </c>
      <c r="U156" s="3" t="inlineStr">
        <is>
          <t>대규모 공공 녹지 접근성</t>
        </is>
      </c>
      <c r="V156" s="3" t="inlineStr">
        <is>
          <t>Te urunga atu ki ngā wāhi matomato tūmatanui nui</t>
        </is>
      </c>
      <c r="W156" s="3" t="inlineStr">
        <is>
          <t>ठूलो सार्वजनिक हरियो ठाउँ पहुँच</t>
        </is>
      </c>
      <c r="X156" s="44" t="inlineStr">
        <is>
          <t>دسترسی به فضای سبز عمومی بزرگ</t>
        </is>
      </c>
      <c r="Y156" s="3" t="inlineStr">
        <is>
          <t>Acesso a grandes espaços verdes públicos</t>
        </is>
      </c>
      <c r="Z156" s="3" t="inlineStr">
        <is>
          <t>Acesso a grandes espaços verdes públicos</t>
        </is>
      </c>
      <c r="AA156" s="3" t="inlineStr">
        <is>
          <t>Acceso a grandes espacios verdes públicos</t>
        </is>
      </c>
      <c r="AB156" s="3" t="inlineStr">
        <is>
          <t>Acceso a grandes espacios verdes públicos</t>
        </is>
      </c>
      <c r="AC156" s="3" t="inlineStr">
        <is>
          <t>பெரிய பொது பசுமைவெளி அணுகல்</t>
        </is>
      </c>
      <c r="AD156" s="3" t="inlineStr">
        <is>
          <t>การเข้าถึงพื้นที่สีเขียวสาธารณะขนาดใหญ่</t>
        </is>
      </c>
      <c r="AE156" s="3" t="inlineStr">
        <is>
          <t>Büyük kamusal yeşil alanlara erişim</t>
        </is>
      </c>
      <c r="AF156" s="3" t="inlineStr">
        <is>
          <t>Доступ до великих громадських зелених насаджень</t>
        </is>
      </c>
      <c r="AG156" s="3" t="inlineStr">
        <is>
          <t>Tiếp cận không gian xanh công cộng rộng lớn</t>
        </is>
      </c>
    </row>
    <row r="157" ht="60" customHeight="1">
      <c r="A157" s="47" t="inlineStr">
        <is>
          <t>https://github.com/healthysustainablecities/global-indicators/issues/600</t>
        </is>
      </c>
      <c r="B157" s="15" t="inlineStr">
        <is>
          <t>green_space_accessibility_label</t>
        </is>
      </c>
      <c r="C157" s="10" t="inlineStr">
        <is>
          <t>{percent} of the population in {city_name} live within 400m of public green space</t>
        </is>
      </c>
      <c r="D157" s="8" t="inlineStr">
        <is>
          <t>يعيش {percent} من السكان على بُعد 500 متر من مساحة خضراء عامة كبيرة لا تقل مساحتها عن هكتار واحد.</t>
        </is>
      </c>
      <c r="E157" s="8" t="inlineStr">
        <is>
          <t>{percent} de la població viu a menys de 500 m d'un gran espai verd públic d'almenys 1 hectàrea</t>
        </is>
      </c>
      <c r="F157" s="10" t="inlineStr">
        <is>
          <t>{percent} 的人口居住在距离至少 1 公顷的大型公共绿地 500 米范围内</t>
        </is>
      </c>
      <c r="G157" s="11" t="inlineStr">
        <is>
          <t>{percent} 的人口居住在距離至少 1 公頃的大型公共綠地 500 公尺範圍內</t>
        </is>
      </c>
      <c r="H157" s="16" t="inlineStr">
        <is>
          <t>{percent} stanovništva živi unutar 500 m od velikih javnih zelenih površina veličine najmanje 1 hektara</t>
        </is>
      </c>
      <c r="I157" s="11" t="inlineStr">
        <is>
          <t>{percent} populace žije do 500 m od velkých veřejných zelených ploch o velikosti alespoň 1 hektaru</t>
        </is>
      </c>
      <c r="J157" s="16" t="inlineStr">
        <is>
          <t>{percent} af befolkningen bor inden for 500 m af store offentlige grønne områder på mindst 1 hektar</t>
        </is>
      </c>
      <c r="K157" s="16" t="inlineStr">
        <is>
          <t>{percent} van de bevolking woont binnen 500 meter van een grote openbare groene ruimte van minstens 1 hectare</t>
        </is>
      </c>
      <c r="L157" s="8" t="inlineStr">
        <is>
          <t>{prosenttia} väestöstä asuu 500 metrin säteellä vähintään 1 hehtaarin kokoisista suurista julkisista viheralueista</t>
        </is>
      </c>
      <c r="M157" s="8" t="inlineStr">
        <is>
          <t>{pourcentage} de la population vit à moins de 500 m d'un grand espace vert public d'au moins 1 hectare.</t>
        </is>
      </c>
      <c r="N157" s="11" t="inlineStr">
        <is>
          <t>{percent} der Bevölkerung lebt innerhalb von 500 m Entfernung zu einer großen öffentlichen Grünfläche von mindestens 1 Hektar Größe.</t>
        </is>
      </c>
      <c r="O157" s="8" t="inlineStr">
        <is>
          <t>{percent} του πληθυσμού ζει σε απόσταση 500 μέτρων από μεγάλους δημόσιους χώρους πρασίνου μεγέθους τουλάχιστον 1 εκταρίου</t>
        </is>
      </c>
      <c r="P157" s="8" t="inlineStr">
        <is>
          <t>{percent} na jama'a suna zaune a cikin murabba'in mita 500 na babban sararin kore na jama'a na akalla hekta 1 a girma</t>
        </is>
      </c>
      <c r="Q157" s="8" t="inlineStr">
        <is>
          <t>{percent} आबादी कम से कम 1 हेक्टेयर साइज़ के बड़े पब्लिक ग्रीन स्पेस के 500m के अंदर रहती है।</t>
        </is>
      </c>
      <c r="R157" s="8" t="inlineStr">
        <is>
          <t>{percent} dari populasi tinggal dalam jarak 500m dari ruang hijau publik yang luas dengan ukuran minimal 1 hektar</t>
        </is>
      </c>
      <c r="S157" s="8" t="inlineStr">
        <is>
          <t>Il {percent} della popolazione vive entro 500 m da un grande spazio verde pubblico di almeno 1 ettaro</t>
        </is>
      </c>
      <c r="T157" s="3" t="inlineStr">
        <is>
          <t>人口の{percent}が、少なくとも1ヘクタールの大規模公共緑地から500m以内に居住している。</t>
        </is>
      </c>
      <c r="U157" s="3" t="inlineStr">
        <is>
          <t>인구의 {percent}가 최소 1헥타르 규모의 대규모 공공 녹지에서 500m 이내에 거주합니다.</t>
        </is>
      </c>
      <c r="V157" s="3" t="inlineStr">
        <is>
          <t>{percent} o te taupori e noho ana i roto i te 500m o ngā wāhi matomato tūmatanui nui, neke atu i te 1 heketea te rahi</t>
        </is>
      </c>
      <c r="W157" s="3" t="inlineStr">
        <is>
          <t>जनसंख्याको {percent} कम्तिमा १ हेक्टर आकारको ठूलो सार्वजनिक हरियो ठाउँको ५०० मिटर भित्र बस्छन्</t>
        </is>
      </c>
      <c r="X157" s="44" t="inlineStr">
        <is>
          <t>{percent} از جمعیت در فاصله ۵۰۰ متری از فضای سبز عمومی بزرگ با حداقل ۱ هکتار مساحت زندگی می‌کنند.</t>
        </is>
      </c>
      <c r="Y157" s="3" t="inlineStr">
        <is>
          <t>{percent} da população vive a menos de 500 m de um grande espaço verde público com pelo menos 1 hectare de tamanho</t>
        </is>
      </c>
      <c r="Z157" s="3" t="inlineStr">
        <is>
          <t>{percent} da população vive a menos de 500 m de um grande espaço verde público com pelo menos 1 hectare de tamanho</t>
        </is>
      </c>
      <c r="AA157" s="3" t="inlineStr">
        <is>
          <t>{percent} de la población vive a menos de 500 m de un gran espacio verde público de al menos 1 hectárea.</t>
        </is>
      </c>
      <c r="AB157" s="3" t="inlineStr">
        <is>
          <t>{percent} de la población vive a menos de 500 m de un gran espacio verde público de al menos 1 hectárea.</t>
        </is>
      </c>
      <c r="AC157" s="3" t="inlineStr">
        <is>
          <t>{percent} மக்கள், குறைந்தது 1 ஹெக்டேர் பரப்பளவுள்ள பெரிய பொது பசுமைவெளியிலிருந்து 500 மீட்டருக்குள் வாழ்கின்றனர்</t>
        </is>
      </c>
      <c r="AD157" s="3" t="inlineStr">
        <is>
          <t>{percent} ของประชากรอาศัยอยู่ภายในระยะ 500 เมตรจากพื้นที่สีเขียวสาธารณะขนาดใหญ่ที่มีขนาดอย่างน้อย 1 เฮกตาร์</t>
        </is>
      </c>
      <c r="AE157" s="3" t="inlineStr">
        <is>
          <t>Nüfusun {percent}'si en az 1 hektarlık büyük kamusal yeşil alanlara 500 m mesafede yaşıyor.</t>
        </is>
      </c>
      <c r="AF157" s="3" t="inlineStr">
        <is>
          <t>{percent} населення проживає в межах 500 м від великих громадських зелених насаджень площею щонайменше 1 гектар</t>
        </is>
      </c>
      <c r="AG157" s="3" t="inlineStr">
        <is>
          <t>{percent} dân số sống trong phạm vi 500m tính từ không gian xanh công cộng rộng lớn có diện tích ít nhất 1 ha</t>
        </is>
      </c>
    </row>
    <row r="158" ht="30" customHeight="1">
      <c r="A158" s="47" t="inlineStr">
        <is>
          <t>https://github.com/healthysustainablecities/global-indicators/issues/600</t>
        </is>
      </c>
      <c r="B158" s="15" t="inlineStr">
        <is>
          <t>urban_heat_exposure_header</t>
        </is>
      </c>
      <c r="C158" s="10" t="inlineStr">
        <is>
          <t>Urban heat exposure</t>
        </is>
      </c>
      <c r="D158" s="8" t="inlineStr">
        <is>
          <t>التعرض للحرارة الحضرية</t>
        </is>
      </c>
      <c r="E158" s="8" t="inlineStr">
        <is>
          <t>Exposició urbana a la calor</t>
        </is>
      </c>
      <c r="F158" s="10" t="inlineStr">
        <is>
          <t>城市热暴露</t>
        </is>
      </c>
      <c r="G158" s="11" t="inlineStr">
        <is>
          <t>城市熱暴露</t>
        </is>
      </c>
      <c r="H158" s="16" t="inlineStr">
        <is>
          <t>Izloženost toplini u urbanim područjima</t>
        </is>
      </c>
      <c r="I158" s="11" t="inlineStr">
        <is>
          <t>Vystavení teplu ve městech</t>
        </is>
      </c>
      <c r="J158" s="16" t="inlineStr">
        <is>
          <t>Varmeeksponering i byen</t>
        </is>
      </c>
      <c r="K158" s="16" t="inlineStr">
        <is>
          <t>Blootstelling aan stedelijke hitte</t>
        </is>
      </c>
      <c r="L158" s="8" t="inlineStr">
        <is>
          <t>Kaupunkien lämpöaltistus</t>
        </is>
      </c>
      <c r="M158" s="8" t="inlineStr">
        <is>
          <t>Exposition à la chaleur urbaine</t>
        </is>
      </c>
      <c r="N158" s="11" t="inlineStr">
        <is>
          <t>Städtische Hitzebelastung</t>
        </is>
      </c>
      <c r="O158" s="8" t="inlineStr">
        <is>
          <t>Έκθεση σε αστική θερμότητα</t>
        </is>
      </c>
      <c r="P158" s="8" t="inlineStr">
        <is>
          <t>Shan zafi a birane</t>
        </is>
      </c>
      <c r="Q158" s="8" t="inlineStr">
        <is>
          <t>शहरी गर्मी का खतरा</t>
        </is>
      </c>
      <c r="R158" s="8" t="inlineStr">
        <is>
          <t>Paparan panas perkotaan</t>
        </is>
      </c>
      <c r="S158" s="8" t="inlineStr">
        <is>
          <t>Esposizione al calore urbano</t>
        </is>
      </c>
      <c r="T158" s="3" t="inlineStr">
        <is>
          <t>都市部の熱曝露</t>
        </is>
      </c>
      <c r="U158" s="3" t="inlineStr">
        <is>
          <t>도시 열 노출</t>
        </is>
      </c>
      <c r="V158" s="3" t="inlineStr">
        <is>
          <t>Te wera o te tāone</t>
        </is>
      </c>
      <c r="W158" s="3" t="inlineStr">
        <is>
          <t>शहरी ताप जोखिम</t>
        </is>
      </c>
      <c r="X158" s="44" t="inlineStr">
        <is>
          <t>قرار گرفتن در معرض گرمای شهری</t>
        </is>
      </c>
      <c r="Y158" s="3" t="inlineStr">
        <is>
          <t>Exposição ao calor urbano</t>
        </is>
      </c>
      <c r="Z158" s="3" t="inlineStr">
        <is>
          <t>Exposição ao calor urbano</t>
        </is>
      </c>
      <c r="AA158" s="3" t="inlineStr">
        <is>
          <t>Exposición al calor urbano</t>
        </is>
      </c>
      <c r="AB158" s="3" t="inlineStr">
        <is>
          <t>Exposición al calor urbano</t>
        </is>
      </c>
      <c r="AC158" s="3" t="inlineStr">
        <is>
          <t>நகர்ப்புற வெப்ப வெளிப்பாடு</t>
        </is>
      </c>
      <c r="AD158" s="3" t="inlineStr">
        <is>
          <t>การสัมผัสความร้อนในเมือง</t>
        </is>
      </c>
      <c r="AE158" s="3" t="inlineStr">
        <is>
          <t>Kentsel ısıya maruz kalma</t>
        </is>
      </c>
      <c r="AF158" s="3" t="inlineStr">
        <is>
          <t>Вплив тепла в міському середовищі</t>
        </is>
      </c>
      <c r="AG158" s="3" t="inlineStr">
        <is>
          <t>Tiếp xúc với nhiệt đô thị</t>
        </is>
      </c>
    </row>
    <row r="159" ht="60" customHeight="1">
      <c r="A159" s="47" t="inlineStr">
        <is>
          <t>https://github.com/healthysustainablecities/global-indicators/issues/600</t>
        </is>
      </c>
      <c r="B159" s="15" t="inlineStr">
        <is>
          <t>land_surface_temperature_label</t>
        </is>
      </c>
      <c r="C159" s="10" t="inlineStr">
        <is>
          <t>Average land surface temperature in {city_name} for the hottest third of the year ({hottest_window}, {hottest_years}, five-year composite)</t>
        </is>
      </c>
      <c r="D159" s="8" t="inlineStr">
        <is>
          <t>متوسط ​​درجة حرارة سطح الأرض خلال الثلث الأكثر حرارة من العام (من {start_date} إلى {end_date})</t>
        </is>
      </c>
      <c r="E159" s="8" t="inlineStr">
        <is>
          <t>Temperatura mitjana de la superfície terrestre durant el terç més calorós de l'any (de {start_date} a {end_date})</t>
        </is>
      </c>
      <c r="F159" s="10" t="inlineStr">
        <is>
          <t>一年中最热的三分之一时期（{start_date} 至 {end_date}）的平均地表温度</t>
        </is>
      </c>
      <c r="G159" s="11" t="inlineStr">
        <is>
          <t>一年中最熱的三分之一時期（{start_date} 至 {end_date}）的平均地表溫度</t>
        </is>
      </c>
      <c r="H159" s="16" t="inlineStr">
        <is>
          <t>Prosječna temperatura površine zemljišta za najtopliju trećinu godine (od {start_date} do {end_date})</t>
        </is>
      </c>
      <c r="I159" s="11" t="inlineStr">
        <is>
          <t>Průměrná teplota povrchu země pro nejteplejší třetinu roku ({start_date} až {end_date})</t>
        </is>
      </c>
      <c r="J159" s="16" t="inlineStr">
        <is>
          <t>Gennemsnitlig jordoverfladetemperatur for den varmeste tredjedel af året ({start_date} til {end_date})</t>
        </is>
      </c>
      <c r="K159" s="16" t="inlineStr">
        <is>
          <t>Gemiddelde landtemperatuur gedurende het warmste derde deel van het jaar ({start_date} tot {end_date})</t>
        </is>
      </c>
      <c r="L159" s="8" t="inlineStr">
        <is>
          <t>Keskimääräinen maanpinnan lämpötila vuoden kuumimman kolmanneksen aikana ({start_date} - {end_date})</t>
        </is>
      </c>
      <c r="M159" s="8" t="inlineStr">
        <is>
          <t>Température moyenne de la surface terrestre pour le tiers le plus chaud de l'année (du {start_date} au {end_date}).</t>
        </is>
      </c>
      <c r="N159" s="11" t="inlineStr">
        <is>
          <t>Durchschnittliche Landoberflächentemperatur im heißesten Drittel des Jahres ({start_date} bis {en_date}).</t>
        </is>
      </c>
      <c r="O159" s="8" t="inlineStr">
        <is>
          <t>Μέση θερμοκρασία επιφάνειας γης για το θερμότερο τρίτο του έτους ({start_date} έως {end_date})</t>
        </is>
      </c>
      <c r="P159" s="8" t="inlineStr">
        <is>
          <t>Matsakaicin zafin ƙasa na mafi zafi na uku na shekara ({start_date} zuwa {end_date})</t>
        </is>
      </c>
      <c r="Q159" s="8" t="inlineStr">
        <is>
          <t>साल के सबसे गर्म तीसरे हिस्से के लिए ज़मीन की सतह का औसत तापमान ({start_date} से {end_date} तक)</t>
        </is>
      </c>
      <c r="R159" s="8" t="inlineStr">
        <is>
          <t>Suhu permukaan tanah rata-rata untuk sepertiga terpanas tahun ini ({start_date} hingga {end_date})</t>
        </is>
      </c>
      <c r="S159" s="8" t="inlineStr">
        <is>
          <t>Temperatura media della superficie terrestre per il terzo più caldo dell'anno (dal {start_date} al {end_date})</t>
        </is>
      </c>
      <c r="T159" s="3" t="inlineStr">
        <is>
          <t>年間で最も暑い3分の1の期間（{start_date}～{end_date}）の平均地表面温度</t>
        </is>
      </c>
      <c r="U159" s="3" t="inlineStr">
        <is>
          <t>연중 가장 더운 3분의 1 기간({start_date}~{end_date})의 평균 지표면 온도</t>
        </is>
      </c>
      <c r="V159" s="3" t="inlineStr">
        <is>
          <t>Te pāmahana mata whenua toharite mō te hautoru wera rawa o te tau ({start_date} ki {end_date})</t>
        </is>
      </c>
      <c r="W159" s="3" t="inlineStr">
        <is>
          <t>वर्षको सबैभन्दा तातो तेस्रो भागको लागि औसत जमिनको सतहको तापक्रम ({start_date} देखि {end_date} सम्म)</t>
        </is>
      </c>
      <c r="X159" s="44" t="inlineStr">
        <is>
          <t>میانگین دمای سطح زمین برای گرم‌ترین یک سوم سال ({start_date} تا {end_date})</t>
        </is>
      </c>
      <c r="Y159" s="3" t="inlineStr">
        <is>
          <t>Temperatura média da superfície terrestre durante o terço mais quente do ano ({start_date} a {end_date})</t>
        </is>
      </c>
      <c r="Z159" s="3" t="inlineStr">
        <is>
          <t>Temperatura média da superfície terrestre durante o terço mais quente do ano ({start_date} a {end_date})</t>
        </is>
      </c>
      <c r="AA159" s="3" t="inlineStr">
        <is>
          <t>Temperatura promedio de la superficie terrestre durante el tercio más cálido del año ({start_date} a {end_date}).</t>
        </is>
      </c>
      <c r="AB159" s="3" t="inlineStr">
        <is>
          <t>Temperatura promedio de la superficie terrestre durante el tercio más cálido del año ({start_date} a {end_date}).</t>
        </is>
      </c>
      <c r="AC159" s="3" t="inlineStr">
        <is>
          <t>ஆண்டின் வெப்பமான மூன்றில் ஒரு பகுதிக்கான ({start_date} முதல் {end_date} வரை) சராசரி நில மேற்பரப்பு வெப்பநிலை</t>
        </is>
      </c>
      <c r="AD159" s="3" t="inlineStr">
        <is>
          <t>อุณหภูมิพื้นผิวเฉลี่ยในช่วงหนึ่งในสามของปีที่ร้อนที่สุด ({start_date} ถึง {end_date})</t>
        </is>
      </c>
      <c r="AE159" s="3" t="inlineStr">
        <is>
          <t>Yılın en sıcak üçte birlik bölümü için ortalama arazi yüzey sıcaklığı ({start_date} - {end_date})</t>
        </is>
      </c>
      <c r="AF159" s="3" t="inlineStr">
        <is>
          <t>Середня температура поверхні землі протягом найспекотнішої третини року (з {start_date} до {end_date})</t>
        </is>
      </c>
      <c r="AG159" s="3" t="inlineStr">
        <is>
          <t>Nhiệt độ bề mặt đất trung bình trong một phần ba nóng nhất của năm (từ {start_date} đến {end_date})</t>
        </is>
      </c>
    </row>
    <row r="160">
      <c r="A160" s="47" t="inlineStr">
        <is>
          <t>https://github.com/healthysustainablecities/global-indicators/issues/600</t>
        </is>
      </c>
      <c r="B160" s="15" t="inlineStr">
        <is>
          <t>guhvi_header</t>
        </is>
      </c>
      <c r="C160" s="10" t="inlineStr">
        <is>
          <t>Urban heat vulnerability</t>
        </is>
      </c>
      <c r="D160" s="8" t="inlineStr">
        <is>
          <t>التعرض للحرارة الحضرية</t>
        </is>
      </c>
      <c r="E160" s="8" t="inlineStr">
        <is>
          <t>Vulnerabilitat urbana a la calor</t>
        </is>
      </c>
      <c r="F160" s="10" t="inlineStr">
        <is>
          <t>城市热脆弱性</t>
        </is>
      </c>
      <c r="G160" s="11" t="inlineStr">
        <is>
          <t>城市熱脆弱性</t>
        </is>
      </c>
      <c r="H160" s="16" t="inlineStr">
        <is>
          <t>Ranjivost na toplinu u urbanim područjima</t>
        </is>
      </c>
      <c r="I160" s="11" t="inlineStr">
        <is>
          <t>Zranitelnost vůči teplu ve městech</t>
        </is>
      </c>
      <c r="J160" s="16" t="inlineStr">
        <is>
          <t>Varmesårbarhed i byen</t>
        </is>
      </c>
      <c r="K160" s="16" t="inlineStr">
        <is>
          <t>Kwetsbaarheid voor stedelijke hitte</t>
        </is>
      </c>
      <c r="L160" s="8" t="inlineStr">
        <is>
          <t>Kaupunkien lämpöalttius</t>
        </is>
      </c>
      <c r="M160" s="8" t="inlineStr">
        <is>
          <t>Vulnérabilité à la chaleur urbaine</t>
        </is>
      </c>
      <c r="N160" s="11" t="inlineStr">
        <is>
          <t>Städtische Hitzeanfälligkeit</t>
        </is>
      </c>
      <c r="O160" s="8" t="inlineStr">
        <is>
          <t>Ευπάθεια σε αστική θερμότητα</t>
        </is>
      </c>
      <c r="P160" s="8" t="inlineStr">
        <is>
          <t>Rashin lafiyar zafi a birane</t>
        </is>
      </c>
      <c r="Q160" s="8" t="inlineStr">
        <is>
          <t>शहरी गर्मी का खतरा</t>
        </is>
      </c>
      <c r="R160" s="8" t="inlineStr">
        <is>
          <t>Kerentanan panas perkotaan</t>
        </is>
      </c>
      <c r="S160" s="8" t="inlineStr">
        <is>
          <t>Vulnerabilità al calore urbano</t>
        </is>
      </c>
      <c r="T160" s="3" t="inlineStr">
        <is>
          <t>都市部の熱脆弱性</t>
        </is>
      </c>
      <c r="U160" s="3" t="inlineStr">
        <is>
          <t>도시 열 취약성</t>
        </is>
      </c>
      <c r="V160" s="3" t="inlineStr">
        <is>
          <t>Te ngoikore o te wera o te tāone</t>
        </is>
      </c>
      <c r="W160" s="3" t="inlineStr">
        <is>
          <t>शहरी ताप जोखिम</t>
        </is>
      </c>
      <c r="X160" s="44" t="inlineStr">
        <is>
          <t>آسیب‌پذیری گرمای شهری</t>
        </is>
      </c>
      <c r="Y160" s="3" t="inlineStr">
        <is>
          <t>Vulnerabilidade ao calor urbano</t>
        </is>
      </c>
      <c r="Z160" s="3" t="inlineStr">
        <is>
          <t>Vulnerabilidade ao calor urbano</t>
        </is>
      </c>
      <c r="AA160" s="3" t="inlineStr">
        <is>
          <t>Vulnerabilidad al calor urbano</t>
        </is>
      </c>
      <c r="AB160" s="3" t="inlineStr">
        <is>
          <t>Vulnerabilidad al calor urbano</t>
        </is>
      </c>
      <c r="AC160" s="3" t="inlineStr">
        <is>
          <t>நகர்ப்புற வெப்ப பாதிப்புத்தன்மை</t>
        </is>
      </c>
      <c r="AD160" s="3" t="inlineStr">
        <is>
          <t>ความเปราะบางต่อความร้อนในเมือง</t>
        </is>
      </c>
      <c r="AE160" s="3" t="inlineStr">
        <is>
          <t>Kentsel ısıya karşı savunmasızlık</t>
        </is>
      </c>
      <c r="AF160" s="3" t="inlineStr">
        <is>
          <t>Вразливість до тепла в міському середовищі</t>
        </is>
      </c>
      <c r="AG160" s="3" t="inlineStr">
        <is>
          <t>Tính dễ bị tổn thương do nhiệt đô thị</t>
        </is>
      </c>
    </row>
    <row r="161" ht="60" customHeight="1">
      <c r="A161" s="15" t="inlineStr">
        <is>
          <t>template</t>
        </is>
      </c>
      <c r="B161" s="15" t="inlineStr">
        <is>
          <t>guhvi_description</t>
        </is>
      </c>
      <c r="C161" s="10" t="inlineStr">
        <is>
          <t>Inequities in heat vulnerability were evaluated as a function of heat exposure, sensitivity, and adaptive capacity (Turner et al, 2025. https://doi.org/10.1016/j.uclim.2025.102716) Heat exposure uses a five-year composite of land surface temperature for the hottest third of the year in the target year and the four preceding years.</t>
        </is>
      </c>
      <c r="D161" s="8" t="inlineStr">
        <is>
          <t>تم تقييم أوجه عدم المساواة في قابلية التأثر بالحرارة كدالة للتعرض للحرارة، والحساسية، والقدرة على التكيف (Turner et al, 2025; https://dx.doi.org/10.2139/ssrn.5251739).</t>
        </is>
      </c>
      <c r="E161" s="8" t="inlineStr">
        <is>
          <t>Les desigualtats en la vulnerabilitat a la calor es van avaluar com a funció de l'exposició a la calor, la sensibilitat i la capacitat d'adaptació (Turner et al., 2025; https://dx.doi.org/10.2139/ssrn.5251739).</t>
        </is>
      </c>
      <c r="F161" s="10" t="inlineStr">
        <is>
          <t>热脆弱性的不平等程度根据热暴露、敏感性和适应能力进行评估（Turner 等，2025；https://dx.doi.org/10.2139/ssrn.5251739）。</t>
        </is>
      </c>
      <c r="G161" s="11" t="inlineStr">
        <is>
          <t>熱脆弱性的不平等程度是根據熱暴露、敏感性和適應能力進行評估（Turner 等，2025；https://dx.doi.org/10.2139/ssrn.5251739）。</t>
        </is>
      </c>
      <c r="H161" s="16" t="inlineStr">
        <is>
          <t>Nejednakosti u ranjivosti na toplinu procijenjene su kao funkcija izloženosti toplini, osjetljivosti i adaptivnog kapaciteta (Turner i sur., 2025.; https://dx.doi.org/10.2139/ssrn.5251739).</t>
        </is>
      </c>
      <c r="I161" s="11" t="inlineStr">
        <is>
          <t>Nerovnosti v zranitelnosti vůči teplu byly vyhodnoceny jako funkce vystavení teplu, citlivosti a adaptační kapacity (Turner et al, 2025; https://dx.doi.org/10.2139/ssrn.5251739).</t>
        </is>
      </c>
      <c r="J161" s="16" t="inlineStr">
        <is>
          <t>Uligheder i varmesårbarhed blev evalueret som en funktion af varmeeksponering, følsomhed og tilpasningsevne (Turner et al., 2025; https://dx.doi.org/10.2139/ssrn.5251739).</t>
        </is>
      </c>
      <c r="K161" s="16" t="inlineStr">
        <is>
          <t>Ongelijkheden in hittekwetsbaarheid werden geëvalueerd als functie van blootstelling aan hitte, gevoeligheid en aanpassingsvermogen (Turner et al, 2025; https://dx.doi.org/10.2139/ssrn.5251739).</t>
        </is>
      </c>
      <c r="L161" s="8" t="inlineStr">
        <is>
          <t>Lämpöalttiuden eriarvoisuutta arvioitiin lämpöaltistuksen, herkkyyden ja sopeutumiskyvyn funktiona (Turner et al, 2025; https://dx.doi.org/10.2139/ssrn.5251739).</t>
        </is>
      </c>
      <c r="M161" s="8" t="inlineStr">
        <is>
          <t>Les inégalités de vulnérabilité à la chaleur ont été évaluées en fonction de l'exposition à la chaleur, de la sensibilité et de la capacité d'adaptation (Turner et al., 2025 ; https://dx.doi.org/10.2139/ssrn.5251739).</t>
        </is>
      </c>
      <c r="N161" s="11" t="inlineStr">
        <is>
          <t>Ungleichheiten in der Hitzeanfälligkeit wurden in Abhängigkeit von Hitzebelastung, -empfindlichkeit und Anpassungsfähigkeit bewertet (Turner et al., 2025; https://dx.doi.org/10.2139/ssrn.5251739).</t>
        </is>
      </c>
      <c r="O161" s="8" t="inlineStr">
        <is>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is>
      </c>
      <c r="P161" s="8" t="inlineStr">
        <is>
          <t>An kimanta rashin daidaito a cikin raunin zafi a matsayin aikin fallasa zafi, jin zafi, da ƙarfin daidaitawa (Turner et al, 2025; https://dx.doi.org/10.2139/ssrn.5251739).</t>
        </is>
      </c>
      <c r="Q161" s="8" t="inlineStr">
        <is>
          <t>गर्मी के खतरे में असमानता को गर्मी के खतरे, सेंसिटिविटी और एडैप्टिव कैपेसिटी (टर्नर एट अल, 2025; https://dx.doi.org/10.2139/ssrn.5251739) के आधार पर आंका गया।</t>
        </is>
      </c>
      <c r="R161" s="8" t="inlineStr">
        <is>
          <t>Ketidaksetaraan dalam kerentanan panas dievaluasi sebagai fungsi dari paparan panas, sensitivitas, dan kapasitas adaptif (Turner et al, 2025; https://dx.doi.org/10.2139/ssrn.5251739).</t>
        </is>
      </c>
      <c r="S161" s="8" t="inlineStr">
        <is>
          <t>Le disuguaglianze nella vulnerabilità al calore sono state valutate in funzione dell'esposizione al calore, della sensibilità e della capacità di adattamento (Turner et al, 2025; https://dx.doi.org/10.2139/ssrn.5251739).</t>
        </is>
      </c>
      <c r="T161" s="3" t="inlineStr">
        <is>
          <t>熱脆弱性の不平等は、熱曝露、感受性、および適応能力の関数として評価された（Turner et al, 2025; https://dx.doi.org/10.2139/ssrn.5251739）。</t>
        </is>
      </c>
      <c r="U161" s="3" t="inlineStr">
        <is>
          <t>열 취약성의 불평등은 열 노출, 민감도 및 적응 능력의 함수로 평가되었습니다(Turner et al, 2025; https://dx.doi.org/10.2139/ssrn.5251739).</t>
        </is>
      </c>
      <c r="V161" s="3" t="inlineStr">
        <is>
          <t>I aromatawaihia ngā kore taurite o te ngoikore o te wera hei mahi a te wera, te aro, me te kaha urutau (Turner et al, 2025; https://dx.doi.org/10.2139/ssrn.5251739).</t>
        </is>
      </c>
      <c r="W161" s="3" t="inlineStr">
        <is>
          <t>तातो जोखिममा असमानताहरूलाई ताप जोखिम, संवेदनशीलता र अनुकूलन क्षमताको कार्यको रूपमा मूल्याङ्कन गरिएको थियो (टर्नर एट अल, २०२५; https://dx.doi.org/10.2139/ssrn.5251739)।</t>
        </is>
      </c>
      <c r="X161" s="44" t="inlineStr">
        <is>
          <t>نابرابری‌ها در آسیب‌پذیری گرما به عنوان تابعی از قرار گرفتن در معرض گرما، حساسیت و ظرفیت سازگاری ارزیابی شدند (Turner et al, 2025; https://dx.doi.org/10.2139/ssrn.5251739).</t>
        </is>
      </c>
      <c r="Y161" s="3" t="inlineStr">
        <is>
          <t>As desigualdades na vulnerabilidade ao calor foram avaliadas em função da exposição ao calor, da sensibilidade e da capacidade adaptativa (Turner et al, 2025; https://dx.doi.org/10.2139/ssrn.5251739).</t>
        </is>
      </c>
      <c r="Z161" s="3" t="inlineStr">
        <is>
          <t>As desigualdades na vulnerabilidade ao calor foram avaliadas em função da exposição ao calor, da sensibilidade e da capacidade adaptativa (Turner et al, 2025; https://dx.doi.org/10.2139/ssrn.5251739).</t>
        </is>
      </c>
      <c r="AA161" s="3" t="inlineStr">
        <is>
          <t>Las desigualdades en la vulnerabilidad al calor se evaluaron en función de la exposición al calor, la sensibilidad y la capacidad de adaptación (Turner et al., 2025; https://dx.doi.org/10.2139/ssrn.5251739).</t>
        </is>
      </c>
      <c r="AB161" s="3" t="inlineStr">
        <is>
          <t>Las desigualdades en la vulnerabilidad al calor se evaluaron en función de la exposición al calor, la sensibilidad y la capacidad de adaptación (Turner et al., 2025; https://dx.doi.org/10.2139/ssrn.5251739).</t>
        </is>
      </c>
      <c r="AC161" s="3" t="inlineStr">
        <is>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is>
      </c>
      <c r="AD161" s="3" t="inlineStr">
        <is>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is>
      </c>
      <c r="AE161" s="3" t="inlineStr">
        <is>
          <t>Isıya karşı savunmasızlıktaki eşitsizlikler, ısıya maruz kalma, hassasiyet ve adaptasyon kapasitesinin bir fonksiyonu olarak değerlendirilmiştir (Turner vd., 2025; https://dx.doi.org/10.2139/ssrn.5251739).</t>
        </is>
      </c>
      <c r="AF161" s="3" t="inlineStr">
        <is>
          <t>Нерівність у вразливості до тепла оцінювалася як функція впливу тепла, чутливості та адаптивної здатності (Turner et al, 2025; https://dx.doi.org/10.2139/ssrn.5251739).</t>
        </is>
      </c>
      <c r="AG161" s="3" t="inlineStr">
        <is>
          <t>Sự bất bình đẳng về tính dễ bị tổn thương do nhiệt được đánh giá dựa trên mức độ tiếp xúc với nhiệt, độ nhạy cảm và khả năng thích ứng (Turner et al, 2025; https://dx.doi.org/10.2139/ssrn.5251739).</t>
        </is>
      </c>
    </row>
    <row r="162">
      <c r="A162" s="15" t="inlineStr">
        <is>
          <t>template</t>
        </is>
      </c>
      <c r="B162" s="17" t="inlineStr">
        <is>
          <t>guhvi_caption</t>
        </is>
      </c>
      <c r="C162" s="10" t="inlineStr">
        <is>
          <t>Heat vulnerability</t>
        </is>
      </c>
      <c r="D162" s="8" t="inlineStr">
        <is>
          <t>قابلية التأثر بالحرارة</t>
        </is>
      </c>
      <c r="E162" s="8" t="inlineStr">
        <is>
          <t>Vulnerabilitat a la calor</t>
        </is>
      </c>
      <c r="F162" s="10" t="inlineStr">
        <is>
          <t>热脆弱性</t>
        </is>
      </c>
      <c r="G162" s="11" t="inlineStr">
        <is>
          <t>熱脆弱性</t>
        </is>
      </c>
      <c r="H162" s="16" t="inlineStr">
        <is>
          <t>Ranjivost na toplinu</t>
        </is>
      </c>
      <c r="I162" s="11" t="inlineStr">
        <is>
          <t>Zranitelnost vůči teplu</t>
        </is>
      </c>
      <c r="J162" s="16" t="inlineStr">
        <is>
          <t>Varmesårbarhed</t>
        </is>
      </c>
      <c r="K162" s="16" t="inlineStr">
        <is>
          <t>Kwetsbaarheid voor hitte</t>
        </is>
      </c>
      <c r="L162" s="8" t="inlineStr">
        <is>
          <t>Lämpöalttius</t>
        </is>
      </c>
      <c r="M162" s="8" t="inlineStr">
        <is>
          <t>Vulnérabilité à la chaleur</t>
        </is>
      </c>
      <c r="N162" s="11" t="inlineStr">
        <is>
          <t>Hitzeanfälligkeit</t>
        </is>
      </c>
      <c r="O162" s="8" t="inlineStr">
        <is>
          <t>Ευπάθεια σε θερμότητα</t>
        </is>
      </c>
      <c r="P162" s="8" t="inlineStr">
        <is>
          <t>Rashin lafiyar zafi</t>
        </is>
      </c>
      <c r="Q162" s="8" t="inlineStr">
        <is>
          <t>गर्मी का खतरा</t>
        </is>
      </c>
      <c r="R162" s="8" t="inlineStr">
        <is>
          <t>Kerentanan panas</t>
        </is>
      </c>
      <c r="S162" s="8" t="inlineStr">
        <is>
          <t>Vulnerabilità al calore</t>
        </is>
      </c>
      <c r="T162" s="3" t="inlineStr">
        <is>
          <t>熱脆弱性</t>
        </is>
      </c>
      <c r="U162" s="3" t="inlineStr">
        <is>
          <t>열 취약성</t>
        </is>
      </c>
      <c r="V162" s="3" t="inlineStr">
        <is>
          <t>Te ngoikore o te wera</t>
        </is>
      </c>
      <c r="W162" s="3" t="inlineStr">
        <is>
          <t>तातो जोखिम</t>
        </is>
      </c>
      <c r="X162" s="44" t="inlineStr">
        <is>
          <t>آسیب‌پذیری گرما</t>
        </is>
      </c>
      <c r="Y162" s="3" t="inlineStr">
        <is>
          <t>Vulnerabilidade ao calor</t>
        </is>
      </c>
      <c r="Z162" s="3" t="inlineStr">
        <is>
          <t>Vulnerabilidade ao calor</t>
        </is>
      </c>
      <c r="AA162" s="3" t="inlineStr">
        <is>
          <t>Vulnerabilidad al calor</t>
        </is>
      </c>
      <c r="AB162" s="3" t="inlineStr">
        <is>
          <t>Vulnerabilidad al calor</t>
        </is>
      </c>
      <c r="AC162" s="3" t="inlineStr">
        <is>
          <t>வெப்ப பாதிப்புத்தன்மை</t>
        </is>
      </c>
      <c r="AD162" s="3" t="inlineStr">
        <is>
          <t>ความเปราะบางต่อความร้อน</t>
        </is>
      </c>
      <c r="AE162" s="3" t="inlineStr">
        <is>
          <t>Isıya karşı savunmasızlık</t>
        </is>
      </c>
      <c r="AF162" s="3" t="inlineStr">
        <is>
          <t>Вразливість до тепла</t>
        </is>
      </c>
      <c r="AG162" s="3" t="inlineStr">
        <is>
          <t>Tính dễ bị tổn thương do nhiệt</t>
        </is>
      </c>
    </row>
    <row r="163" ht="90" customHeight="1">
      <c r="A163" s="15" t="inlineStr">
        <is>
          <t>template</t>
        </is>
      </c>
      <c r="B163" s="17" t="inlineStr">
        <is>
          <t>global_urban_heat_vulnerability_index_label</t>
        </is>
      </c>
      <c r="C163" s="10" t="inlineStr">
        <is>
          <t>{percent} of the population in {city_name} live in areas most vulnerable to heat
({hottest_window}, {hottest_years}, five-year composite)</t>
        </is>
      </c>
      <c r="D163" s="8" t="inlineStr">
        <is>
          <t>يعيش {percent} من السكان في المناطق الأكثر عرضة للحرارة</t>
        </is>
      </c>
      <c r="E163" s="8" t="inlineStr">
        <is>
          <t>{percent} de la població viu a les zones més vulnerables a la calor</t>
        </is>
      </c>
      <c r="F163" s="10" t="inlineStr">
        <is>
          <t>{percent} 的人口居住在最易受热影响的地区</t>
        </is>
      </c>
      <c r="G163" s="11" t="inlineStr">
        <is>
          <t>{percent} 的人口居住在最容易受到熱影響的地區</t>
        </is>
      </c>
      <c r="H163" s="16" t="inlineStr">
        <is>
          <t>{percent} stanovništva živi u područjima najosjetljivijim na toplinu</t>
        </is>
      </c>
      <c r="I163" s="11" t="inlineStr">
        <is>
          <t>{percent} populace žije v oblastech nejvíce zranitelných vůči teplu</t>
        </is>
      </c>
      <c r="J163" s="16" t="inlineStr">
        <is>
          <t>{percent} af befolkningen bor i områder, der er mest sårbare over for varme</t>
        </is>
      </c>
      <c r="K163" s="16" t="inlineStr">
        <is>
          <t>{percent} van de bevolking woont in gebieden die het meest kwetsbaar zijn voor hitte</t>
        </is>
      </c>
      <c r="L163" s="8" t="inlineStr">
        <is>
          <t>{prosenttia} väestöstä asuu alueilla, jotka ovat alttiimpia kuumuudelle</t>
        </is>
      </c>
      <c r="M163" s="8" t="inlineStr">
        <is>
          <t>{pourcentage} de la population vit dans les zones les plus vulnérables à la chaleur.</t>
        </is>
      </c>
      <c r="N163" s="11" t="inlineStr">
        <is>
          <t>{percent} der Bevölkerung lebt in Gebieten mit besonders hoher Hitzeanfälligkeit.</t>
        </is>
      </c>
      <c r="O163" s="8" t="inlineStr">
        <is>
          <t>{percent} του πληθυσμού ζει σε περιοχές που είναι πιο ευάλωτες στη θερμότητα</t>
        </is>
      </c>
      <c r="P163" s="8" t="inlineStr">
        <is>
          <t>{percent} na jama'a suna zaune a yankunan da suka fi fuskantar zafi</t>
        </is>
      </c>
      <c r="Q163" s="8" t="inlineStr">
        <is>
          <t>{percent} आबादी उन इलाकों में रहती है जहाँ गर्मी का सबसे ज़्यादा खतरा होता है।</t>
        </is>
      </c>
      <c r="R163" s="8" t="inlineStr">
        <is>
          <t>{percent} dari populasi tinggal di daerah yang paling rentan terhadap panas</t>
        </is>
      </c>
      <c r="S163" s="8" t="inlineStr">
        <is>
          <t>Il {percent} della popolazione vive in aree più vulnerabili al calore</t>
        </is>
      </c>
      <c r="T163" s="3" t="inlineStr">
        <is>
          <t>人口の{percent}が、熱に対して最も脆弱な地域に居住している。</t>
        </is>
      </c>
      <c r="U163" s="3" t="inlineStr">
        <is>
          <t>인구의 {percent}가 열에 가장 취약한 지역에 거주합니다.</t>
        </is>
      </c>
      <c r="V163" s="3" t="inlineStr">
        <is>
          <t>{percent} o te taupori e noho ana i ngā wāhi tino ngoikore ki te wera</t>
        </is>
      </c>
      <c r="W163" s="3" t="inlineStr">
        <is>
          <t>जनसंख्याको {percent} गर्मीको लागि सबैभन्दा जोखिममा रहेका क्षेत्रहरूमा बस्छन्</t>
        </is>
      </c>
      <c r="X163" s="44" t="inlineStr">
        <is>
          <t>{percent} از جمعیت در مناطقی زندگی می‌کنند که بیشترین آسیب‌پذیری را در برابر گرما دارند.</t>
        </is>
      </c>
      <c r="Y163" s="3" t="inlineStr">
        <is>
          <t>{percent} da população vive em áreas mais vulneráveis ao calor</t>
        </is>
      </c>
      <c r="Z163" s="3" t="inlineStr">
        <is>
          <t>{percent} da população vive em zonas mais vulneráveis ao calor</t>
        </is>
      </c>
      <c r="AA163" s="3" t="inlineStr">
        <is>
          <t>{percent} de la población vive en las zonas más vulnerables al calor.</t>
        </is>
      </c>
      <c r="AB163" s="3" t="inlineStr">
        <is>
          <t>{percent} de la población vive en las zonas más vulnerables al calor.</t>
        </is>
      </c>
      <c r="AC163" s="3" t="inlineStr">
        <is>
          <t>{percent} மக்கள் வெப்பத்தால் மிகவும் பாதிக்கப்படக்கூடிய பகுதிகளில் வாழ்கின்றனர்.</t>
        </is>
      </c>
      <c r="AD163" s="3" t="inlineStr">
        <is>
          <t>{percent} ของประชากรอาศัยอยู่ในพื้นที่ที่มีความเสี่ยงต่อความร้อนมากที่สุด</t>
        </is>
      </c>
      <c r="AE163" s="3" t="inlineStr">
        <is>
          <t>Nüfusun {percent}'si ısıya karşı en savunmasız bölgelerde yaşıyor.</t>
        </is>
      </c>
      <c r="AF163" s="3" t="inlineStr">
        <is>
          <t>{percent} населення проживає в районах, найбільш вразливих до тепла</t>
        </is>
      </c>
      <c r="AG163" s="3" t="inlineStr">
        <is>
          <t>{percent} dân số sống ở những khu vực dễ bị tổn thương nhất do nhiệt</t>
        </is>
      </c>
    </row>
    <row r="164">
      <c r="A164" s="15" t="inlineStr">
        <is>
          <t>template</t>
        </is>
      </c>
      <c r="B164" s="15" t="inlineStr">
        <is>
          <t>example_report_only</t>
        </is>
      </c>
      <c r="C164" s="10" t="inlineStr">
        <is>
          <t>Example report only.  Copy and edit the example .yml file in the configuration/regions folder to define your own study region for analysis and reporting.  Following configuration and analysis, policy and/or spatial indicator reports may be generated according to the directions at</t>
        </is>
      </c>
      <c r="D164" s="8" t="inlineStr">
        <is>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is>
      </c>
      <c r="E164" s="8" t="inlineStr">
        <is>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is>
      </c>
      <c r="F164" s="10" t="inlineStr">
        <is>
          <t>仅示例报告。复制并编辑configuration/regions文件夹中的示例.yml文件，以定义您自己的研究区域以进行分析和报告。在配置和分析之后，可以根据以下处的指示生成策略和/或空间指示符报告：</t>
        </is>
      </c>
      <c r="G164" s="11" t="inlineStr">
        <is>
          <t>僅範例報告。複製並編輯configuration/regions資料夾中的範例.yml文件，以定義您自己的研究區域以進行分析和報告。在配置和分析之後，可以根據以下的指示產生策略和/或空間指示符報告：</t>
        </is>
      </c>
      <c r="H164" s="16" t="inlineStr">
        <is>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is>
      </c>
      <c r="I164" s="11" t="inlineStr">
        <is>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is>
      </c>
      <c r="J164" s="16" t="inlineStr">
        <is>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is>
      </c>
      <c r="K164" s="16" t="inlineStr">
        <is>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is>
      </c>
      <c r="L164" s="8" t="inlineStr">
        <is>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is>
      </c>
      <c r="M164" s="8" t="inlineStr">
        <is>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is>
      </c>
      <c r="N164" s="11" t="inlineStr">
        <is>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is>
      </c>
      <c r="O164" s="8" t="inlineStr">
        <is>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is>
      </c>
      <c r="P164" s="8" t="inlineStr">
        <is>
          <t>Misali rahoton kawai. Kwafi da shirya fayil ɗin .yml misali a cikin babban fayil ɗin sanyi/yankuna don ayyana yankin binciken ku don bincike da bayar da rahoto. Bayan daidaitawa da bincike, ƙila a samar da rahotannin manufofi da/ko na sarari bisa ga kwatance a</t>
        </is>
      </c>
      <c r="Q164" s="8" t="inlineStr">
        <is>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is>
      </c>
      <c r="R164" s="8" t="inlineStr">
        <is>
          <t>Contoh laporan saja. Salin dan edit contoh file .yml di folder konfigurasi/wilayah untuk menentukan wilayah studi Anda sendiri untuk analisis dan pelaporan. Setelah konfigurasi dan analisis, laporan kebijakan dan/atau indikator spasial dapat dihasilkan sesuai dengan arahan di</t>
        </is>
      </c>
      <c r="S164" s="8" t="inlineStr">
        <is>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is>
      </c>
      <c r="T164" s="3" t="inlineStr">
        <is>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is>
      </c>
      <c r="U164" s="3" t="inlineStr">
        <is>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is>
      </c>
      <c r="V164" s="3" t="inlineStr">
        <is>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is>
      </c>
      <c r="W164" s="3" t="inlineStr">
        <is>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is>
      </c>
      <c r="X164" s="44" t="inlineStr">
        <is>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is>
      </c>
      <c r="Y164" s="3" t="inlineStr">
        <is>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is>
      </c>
      <c r="Z164" s="3" t="inlineStr">
        <is>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is>
      </c>
      <c r="AA164" s="3" t="inlineStr">
        <is>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is>
      </c>
      <c r="AB164" s="3" t="inlineStr">
        <is>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is>
      </c>
      <c r="AC164" s="3" t="inlineStr">
        <is>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is>
      </c>
      <c r="AD164" s="3" t="inlineStr">
        <is>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is>
      </c>
      <c r="AE164" s="3" t="inlineStr">
        <is>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is>
      </c>
      <c r="AF164" s="3" t="inlineStr">
        <is>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is>
      </c>
      <c r="AG164" s="3" t="inlineStr">
        <is>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is>
      </c>
    </row>
    <row r="165" ht="45" customHeight="1">
      <c r="A165" s="15" t="inlineStr">
        <is>
          <t>template</t>
        </is>
      </c>
      <c r="B165" s="15" t="inlineStr">
        <is>
          <t>citation_series</t>
        </is>
      </c>
      <c r="C165" s="9" t="inlineStr">
        <is>
          <t>Full details of the data and methods are available at</t>
        </is>
      </c>
      <c r="D165" s="8" t="inlineStr">
        <is>
          <t>التفاصيل الكاملة للبيانات والأساليب متاحة على</t>
        </is>
      </c>
      <c r="E165" s="8" t="inlineStr">
        <is>
          <t>Els detalls complets de les dades i els mètodes estan disponibles a</t>
        </is>
      </c>
      <c r="F165" s="9" t="inlineStr">
        <is>
          <t>有关数据和方法的完整详细信息，请访问</t>
        </is>
      </c>
      <c r="G165" s="8" t="inlineStr">
        <is>
          <t>有關數據和方法的完整詳細信息，請訪問</t>
        </is>
      </c>
      <c r="H165" s="16" t="inlineStr">
        <is>
          <t>Sve pojedinosti o podacima i metodama dostupne su na</t>
        </is>
      </c>
      <c r="I165" s="8" t="inlineStr">
        <is>
          <t>Úplné podrobnosti o datech a metodách jsou k dispozici na</t>
        </is>
      </c>
      <c r="J165" s="16" t="inlineStr">
        <is>
          <t>Fuldstændige detaljer om data og metoder er tilgængelige på</t>
        </is>
      </c>
      <c r="K165" s="16" t="inlineStr">
        <is>
          <t>Volledige details van de gegevens en methoden zijn beschikbaar op</t>
        </is>
      </c>
      <c r="L165" s="8" t="inlineStr">
        <is>
          <t xml:space="preserve">Yksityiskohtainen kuvaus aineistoista ja menetelmistä: </t>
        </is>
      </c>
      <c r="M165" s="8" t="inlineStr">
        <is>
          <t>Tous les détails des données et des méthodes sont disponibles sur</t>
        </is>
      </c>
      <c r="N165" s="8" t="inlineStr">
        <is>
          <t>Ausführliche Informationen zu den Daten und Methoden finden Sie unter</t>
        </is>
      </c>
      <c r="O165" s="8" t="inlineStr">
        <is>
          <t>Πλήρεις λεπτομέρειες για τα δεδομένα και τις μεθόδους είναι διαθέσιμες στη διεύθυνση</t>
        </is>
      </c>
      <c r="P165" s="8" t="inlineStr">
        <is>
          <t>Ana samun cikakkun bayanai na bayanai da hanyoyin a</t>
        </is>
      </c>
      <c r="Q165" s="8" t="inlineStr">
        <is>
          <t>डेटा और विधियों का पूरा विवरण यहां उपलब्ध है</t>
        </is>
      </c>
      <c r="R165" s="8" t="inlineStr">
        <is>
          <t>Rincian lengkap data dan metode tersedia di</t>
        </is>
      </c>
      <c r="S165" s="8" t="inlineStr">
        <is>
          <t>I dettagli completi sulle fonti di dati e sui metodi sono disponibili all'indirizzo</t>
        </is>
      </c>
      <c r="T165" s="3" t="inlineStr">
        <is>
          <t>データと手法の詳細については、次のURLを参照してください。</t>
        </is>
      </c>
      <c r="U165" s="3" t="inlineStr">
        <is>
          <t>데이터 및 방법에 대한 자세한 내용은 아래에서 확인할 수 있습니다.</t>
        </is>
      </c>
      <c r="V165" s="3" t="inlineStr">
        <is>
          <t>Kei te waatea nga korero katoa mo nga raraunga me nga tikanga</t>
        </is>
      </c>
      <c r="W165" s="3" t="inlineStr">
        <is>
          <t>डाटा र विधिहरूको पूर्ण विवरणहरू उपलब्ध छन्</t>
        </is>
      </c>
      <c r="X165" s="44" t="inlineStr">
        <is>
          <t>جزئیات کامل داده‌ها و روش‌ها در دسترس است در:</t>
        </is>
      </c>
      <c r="Y165" s="3" t="inlineStr">
        <is>
          <t>Detalhes completos dos dados e métodos estão disponíveis em</t>
        </is>
      </c>
      <c r="Z165" s="3" t="inlineStr">
        <is>
          <t>Detalhes completos dos dados e métodos estão disponíveis em</t>
        </is>
      </c>
      <c r="AA165" s="3" t="inlineStr">
        <is>
          <t>Todos los detalles sobre los datos y los métodos están disponibles en</t>
        </is>
      </c>
      <c r="AB165" s="3" t="inlineStr">
        <is>
          <t>Los detalles completos de los datos y métodos están disponibles en</t>
        </is>
      </c>
      <c r="AC165" s="3" t="inlineStr">
        <is>
          <t>தரவு மற்றும் முறைகள் பற்றிய முழு விவரங்கள் இங்கே கிடைக்கின்றன</t>
        </is>
      </c>
      <c r="AD165" s="3" t="inlineStr">
        <is>
          <t>ดู​ราย​ละเอียด​ข้อมูล​และ​วิธี​การ​ทั้ง​หมด​ได้​ที่</t>
        </is>
      </c>
      <c r="AE165" s="3" t="inlineStr">
        <is>
          <t>Kullanılan veri ve yöntemlerin ayrıntıları şu adreste mevcuttur:</t>
        </is>
      </c>
      <c r="AF165" s="3" t="inlineStr">
        <is>
          <t>Повна інформація про дані та методи доступна за адресою</t>
        </is>
      </c>
      <c r="AG165" s="3" t="inlineStr">
        <is>
          <t>Chi tiết đầy đủ về dữ liệu và phương pháp có sẵn tại</t>
        </is>
      </c>
    </row>
    <row r="166" ht="195" customHeight="1">
      <c r="A166" s="15" t="inlineStr">
        <is>
          <t>template</t>
        </is>
      </c>
      <c r="B166" s="15" t="inlineStr">
        <is>
          <t>citation_population</t>
        </is>
      </c>
      <c r="C166" s="9" t="inlineStr">
        <is>
          <t>Population data</t>
        </is>
      </c>
      <c r="D166" s="8" t="inlineStr">
        <is>
          <t>البيانات السكانية</t>
        </is>
      </c>
      <c r="E166" s="8" t="inlineStr">
        <is>
          <t>Dades de població</t>
        </is>
      </c>
      <c r="F166" s="9" t="inlineStr">
        <is>
          <t>人口数据</t>
        </is>
      </c>
      <c r="G166" s="8" t="inlineStr">
        <is>
          <t>人口數據</t>
        </is>
      </c>
      <c r="H166" s="16" t="inlineStr">
        <is>
          <t>Podaci o stanovništvu</t>
        </is>
      </c>
      <c r="I166" s="8" t="inlineStr">
        <is>
          <t>Údaje o obyvatelstvu</t>
        </is>
      </c>
      <c r="J166" s="16" t="inlineStr">
        <is>
          <t>Befolkningsdata</t>
        </is>
      </c>
      <c r="K166" s="16" t="inlineStr">
        <is>
          <t>Bevolkingsgegevens</t>
        </is>
      </c>
      <c r="L166" s="8" t="inlineStr">
        <is>
          <t>Väestötiedot</t>
        </is>
      </c>
      <c r="M166" s="8" t="inlineStr">
        <is>
          <t>Données démographiques</t>
        </is>
      </c>
      <c r="N166" s="8" t="inlineStr">
        <is>
          <t>Bevölkerungsdaten</t>
        </is>
      </c>
      <c r="O166" s="8" t="inlineStr">
        <is>
          <t>Δεδομένα πληθυσμού</t>
        </is>
      </c>
      <c r="P166" s="8" t="inlineStr">
        <is>
          <t>Bayanan yawan jama'a</t>
        </is>
      </c>
      <c r="Q166" s="8" t="inlineStr">
        <is>
          <t>जनसंख्या डेटा</t>
        </is>
      </c>
      <c r="R166" s="8" t="inlineStr">
        <is>
          <t>Data populasi</t>
        </is>
      </c>
      <c r="S166" s="8" t="inlineStr">
        <is>
          <t>Dati sulla popolazione</t>
        </is>
      </c>
      <c r="T166" s="3" t="inlineStr">
        <is>
          <t>人口データ</t>
        </is>
      </c>
      <c r="U166" s="3" t="inlineStr">
        <is>
          <t>인구 데이터</t>
        </is>
      </c>
      <c r="V166" s="3" t="inlineStr">
        <is>
          <t>Raraunga taupori</t>
        </is>
      </c>
      <c r="W166" s="3" t="inlineStr">
        <is>
          <t>जनसंख्या डाटा</t>
        </is>
      </c>
      <c r="X166" s="44" t="inlineStr">
        <is>
          <t>داده‌های جمعیتی</t>
        </is>
      </c>
      <c r="Y166" s="3" t="inlineStr">
        <is>
          <t>Dados populacionais</t>
        </is>
      </c>
      <c r="Z166" s="3" t="inlineStr">
        <is>
          <t>Dados populacionais</t>
        </is>
      </c>
      <c r="AA166" s="3" t="inlineStr">
        <is>
          <t>Datos sobre población</t>
        </is>
      </c>
      <c r="AB166" s="3" t="inlineStr">
        <is>
          <t>Datos sobre población</t>
        </is>
      </c>
      <c r="AC166" s="3" t="inlineStr">
        <is>
          <t>மக்கள் தொகை தரவு</t>
        </is>
      </c>
      <c r="AD166" s="3" t="inlineStr">
        <is>
          <t>ข้อมูล​ประชากร</t>
        </is>
      </c>
      <c r="AE166" s="3" t="inlineStr">
        <is>
          <t>Nüfus verisi</t>
        </is>
      </c>
      <c r="AF166" s="3" t="inlineStr">
        <is>
          <t>Дані про населення</t>
        </is>
      </c>
      <c r="AG166" s="3" t="inlineStr">
        <is>
          <t>Dữ liệu dân số</t>
        </is>
      </c>
    </row>
    <row r="167" ht="30" customHeight="1">
      <c r="A167" s="15" t="inlineStr">
        <is>
          <t>template</t>
        </is>
      </c>
      <c r="B167" s="15" t="inlineStr">
        <is>
          <t>citation_boundaries</t>
        </is>
      </c>
      <c r="C167" s="9" t="inlineStr">
        <is>
          <t>Urban boundaries</t>
        </is>
      </c>
      <c r="D167" s="8" t="inlineStr">
        <is>
          <t>الحدود الحضرية</t>
        </is>
      </c>
      <c r="E167" s="8" t="inlineStr">
        <is>
          <t>Límits urbans</t>
        </is>
      </c>
      <c r="F167" s="9" t="inlineStr">
        <is>
          <t>城市边界</t>
        </is>
      </c>
      <c r="G167" s="8" t="inlineStr">
        <is>
          <t>市區邊界</t>
        </is>
      </c>
      <c r="H167" s="16" t="inlineStr">
        <is>
          <t>Urbane granice</t>
        </is>
      </c>
      <c r="I167" s="8" t="inlineStr">
        <is>
          <t>Městské hranice</t>
        </is>
      </c>
      <c r="J167" s="16" t="inlineStr">
        <is>
          <t>Bygrænse</t>
        </is>
      </c>
      <c r="K167" s="16" t="inlineStr">
        <is>
          <t>Stadsgrenzen</t>
        </is>
      </c>
      <c r="L167" s="8" t="inlineStr">
        <is>
          <t>Kaupunkalueen rajat</t>
        </is>
      </c>
      <c r="M167" s="8" t="inlineStr">
        <is>
          <t>Limites urbaines</t>
        </is>
      </c>
      <c r="N167" s="8" t="inlineStr">
        <is>
          <t>Stadtgrenzen</t>
        </is>
      </c>
      <c r="O167" s="8" t="inlineStr">
        <is>
          <t>Αστικά όρια</t>
        </is>
      </c>
      <c r="P167" s="8" t="inlineStr">
        <is>
          <t>Iyakokin birni</t>
        </is>
      </c>
      <c r="Q167" s="8" t="inlineStr">
        <is>
          <t>शहरी सीमाएँ</t>
        </is>
      </c>
      <c r="R167" s="8" t="inlineStr">
        <is>
          <t>Batas kota</t>
        </is>
      </c>
      <c r="S167" s="8" t="inlineStr">
        <is>
          <t>Confini urbani</t>
        </is>
      </c>
      <c r="T167" s="3" t="inlineStr">
        <is>
          <t>都市境界線</t>
        </is>
      </c>
      <c r="U167" s="3" t="inlineStr">
        <is>
          <t>도시 경계</t>
        </is>
      </c>
      <c r="V167" s="3" t="inlineStr">
        <is>
          <t>Ngā rohe taone</t>
        </is>
      </c>
      <c r="W167" s="3" t="inlineStr">
        <is>
          <t>शहरी सीमाहरू</t>
        </is>
      </c>
      <c r="X167" s="44" t="inlineStr">
        <is>
          <t>حریم‌های شهری</t>
        </is>
      </c>
      <c r="Y167" s="3" t="inlineStr">
        <is>
          <t>Limites urbanos</t>
        </is>
      </c>
      <c r="Z167" s="3" t="inlineStr">
        <is>
          <t>Fronteiras urbanas</t>
        </is>
      </c>
      <c r="AA167" s="3" t="inlineStr">
        <is>
          <t>Límites urbanos</t>
        </is>
      </c>
      <c r="AB167" s="3" t="inlineStr">
        <is>
          <t>Límites urbanos</t>
        </is>
      </c>
      <c r="AC167" s="3" t="inlineStr">
        <is>
          <t>நகர்ப்புற எல்லைகள்</t>
        </is>
      </c>
      <c r="AD167" s="3" t="inlineStr">
        <is>
          <t>ขอบ​เขต​เมือง</t>
        </is>
      </c>
      <c r="AE167" s="3" t="inlineStr">
        <is>
          <t>Kentsel sınırlar</t>
        </is>
      </c>
      <c r="AF167" s="3" t="inlineStr">
        <is>
          <t>Міські межі</t>
        </is>
      </c>
      <c r="AG167" s="3" t="inlineStr">
        <is>
          <t>Ranh giới đô thị</t>
        </is>
      </c>
    </row>
    <row r="168">
      <c r="A168" s="15" t="inlineStr">
        <is>
          <t>template</t>
        </is>
      </c>
      <c r="B168" s="15" t="inlineStr">
        <is>
          <t>citation_features</t>
        </is>
      </c>
      <c r="C168" s="9" t="inlineStr">
        <is>
          <t>Urban features</t>
        </is>
      </c>
      <c r="D168" s="8" t="inlineStr">
        <is>
          <t>الميزات الحضرية</t>
        </is>
      </c>
      <c r="E168" s="8" t="inlineStr">
        <is>
          <t>Característiques urbanes</t>
        </is>
      </c>
      <c r="F168" s="9" t="inlineStr">
        <is>
          <t>城市特征</t>
        </is>
      </c>
      <c r="G168" s="8" t="inlineStr">
        <is>
          <t>市區特徵</t>
        </is>
      </c>
      <c r="H168" s="16" t="inlineStr">
        <is>
          <t>Urbanistička obilježja</t>
        </is>
      </c>
      <c r="I168" s="8" t="inlineStr">
        <is>
          <t>Městské prvky</t>
        </is>
      </c>
      <c r="J168" s="16" t="inlineStr">
        <is>
          <t>Byfaciliteter</t>
        </is>
      </c>
      <c r="K168" s="16" t="inlineStr">
        <is>
          <t>Stadskenmerken</t>
        </is>
      </c>
      <c r="L168" s="8" t="inlineStr">
        <is>
          <t>Kaupungin ominaisuudet</t>
        </is>
      </c>
      <c r="M168" s="8" t="inlineStr">
        <is>
          <t>Caractéristiques urbaines</t>
        </is>
      </c>
      <c r="N168" s="8" t="inlineStr">
        <is>
          <t>Stadteigenschaften</t>
        </is>
      </c>
      <c r="O168" s="8" t="inlineStr">
        <is>
          <t>Αστικά χαρακτηριστικά</t>
        </is>
      </c>
      <c r="P168" s="8" t="inlineStr">
        <is>
          <t>Siffofin birni</t>
        </is>
      </c>
      <c r="Q168" s="8" t="inlineStr">
        <is>
          <t>शहरी विशेषताएँ</t>
        </is>
      </c>
      <c r="R168" s="8" t="inlineStr">
        <is>
          <t>Fitur perkotaan</t>
        </is>
      </c>
      <c r="S168" s="8" t="inlineStr">
        <is>
          <t>Caratteristiche urbane</t>
        </is>
      </c>
      <c r="T168" s="3" t="inlineStr">
        <is>
          <t>都市の特徴</t>
        </is>
      </c>
      <c r="U168" s="3" t="inlineStr">
        <is>
          <t>도시 특징</t>
        </is>
      </c>
      <c r="V168" s="3" t="inlineStr">
        <is>
          <t>Ngā āhuahanga tāone</t>
        </is>
      </c>
      <c r="W168" s="3" t="inlineStr">
        <is>
          <t>शहरी सुविधाहरू</t>
        </is>
      </c>
      <c r="X168" s="44" t="inlineStr">
        <is>
          <t>ویژگی های شهری</t>
        </is>
      </c>
      <c r="Y168" s="3" t="inlineStr">
        <is>
          <t>Características urbanas</t>
        </is>
      </c>
      <c r="Z168" s="3" t="inlineStr">
        <is>
          <t>Características urbanas</t>
        </is>
      </c>
      <c r="AA168" s="3" t="inlineStr">
        <is>
          <t>Características urbanas</t>
        </is>
      </c>
      <c r="AB168" s="3" t="inlineStr">
        <is>
          <t>Características urbanas</t>
        </is>
      </c>
      <c r="AC168" s="3" t="inlineStr">
        <is>
          <t>நகர்ப்புற அம்சங்கள்</t>
        </is>
      </c>
      <c r="AD168" s="3" t="inlineStr">
        <is>
          <t>ลักษณะ​ของ​เมือง</t>
        </is>
      </c>
      <c r="AE168" s="3" t="inlineStr">
        <is>
          <t>Kentsel özellikler</t>
        </is>
      </c>
      <c r="AF168" s="3" t="inlineStr">
        <is>
          <t>Містобудівні особливості</t>
        </is>
      </c>
      <c r="AG168" s="3" t="inlineStr">
        <is>
          <t>Đặc điểm đô thị</t>
        </is>
      </c>
    </row>
    <row r="169">
      <c r="A169" s="15" t="inlineStr">
        <is>
          <t>template</t>
        </is>
      </c>
      <c r="B169" s="15" t="inlineStr">
        <is>
          <t>citation_colour</t>
        </is>
      </c>
      <c r="C169" s="9" t="inlineStr">
        <is>
          <t>Colour scale</t>
        </is>
      </c>
      <c r="D169" s="8" t="inlineStr">
        <is>
          <t>مقياس اللون</t>
        </is>
      </c>
      <c r="E169" s="8" t="inlineStr">
        <is>
          <t>Escala de color</t>
        </is>
      </c>
      <c r="F169" s="9" t="inlineStr">
        <is>
          <t>色阶表</t>
        </is>
      </c>
      <c r="G169" s="8" t="inlineStr">
        <is>
          <t>色階表</t>
        </is>
      </c>
      <c r="H169" s="16" t="inlineStr">
        <is>
          <t>Skala boja</t>
        </is>
      </c>
      <c r="I169" s="8" t="inlineStr">
        <is>
          <t>Barevná škála</t>
        </is>
      </c>
      <c r="J169" s="16" t="inlineStr">
        <is>
          <t>Farveskala</t>
        </is>
      </c>
      <c r="K169" s="16" t="inlineStr">
        <is>
          <t>Kleurenschaal</t>
        </is>
      </c>
      <c r="L169" s="8" t="inlineStr">
        <is>
          <t>Väriskaala</t>
        </is>
      </c>
      <c r="M169" s="8" t="inlineStr">
        <is>
          <t>Échelle de couleurs</t>
        </is>
      </c>
      <c r="N169" s="8" t="inlineStr">
        <is>
          <t>Farbskala</t>
        </is>
      </c>
      <c r="O169" s="8" t="inlineStr">
        <is>
          <t>Κλίμακα χρώματος</t>
        </is>
      </c>
      <c r="P169" s="8" t="inlineStr">
        <is>
          <t>Ma'aunin launi</t>
        </is>
      </c>
      <c r="Q169" s="8" t="inlineStr">
        <is>
          <t>रंग पैमाना</t>
        </is>
      </c>
      <c r="R169" s="8" t="inlineStr">
        <is>
          <t>Skala warna</t>
        </is>
      </c>
      <c r="S169" s="8" t="inlineStr">
        <is>
          <t>Scala di colori</t>
        </is>
      </c>
      <c r="T169" s="3" t="inlineStr">
        <is>
          <t>カラースケール</t>
        </is>
      </c>
      <c r="U169" s="3" t="inlineStr">
        <is>
          <t>컬러 스케일</t>
        </is>
      </c>
      <c r="V169" s="3" t="inlineStr">
        <is>
          <t>Tauine taera</t>
        </is>
      </c>
      <c r="W169" s="3" t="inlineStr">
        <is>
          <t>रङ स्केल</t>
        </is>
      </c>
      <c r="X169" s="44" t="inlineStr">
        <is>
          <t>مقیاس رنگی</t>
        </is>
      </c>
      <c r="Y169" s="3" t="inlineStr">
        <is>
          <t>Escala de cores</t>
        </is>
      </c>
      <c r="Z169" s="3" t="inlineStr">
        <is>
          <t>Escala de cor</t>
        </is>
      </c>
      <c r="AA169" s="3" t="inlineStr">
        <is>
          <t>Escala de colores</t>
        </is>
      </c>
      <c r="AB169" s="3" t="inlineStr">
        <is>
          <t>Escala de colores</t>
        </is>
      </c>
      <c r="AC169" s="3" t="inlineStr">
        <is>
          <t>வண்ண அளவுகோல்</t>
        </is>
      </c>
      <c r="AD169" s="3" t="inlineStr">
        <is>
          <t>ระดับ​สี</t>
        </is>
      </c>
      <c r="AE169" s="3" t="inlineStr">
        <is>
          <t>Renk skalası</t>
        </is>
      </c>
      <c r="AF169" s="3" t="inlineStr">
        <is>
          <t>Колірна гамма</t>
        </is>
      </c>
      <c r="AG169" s="3" t="inlineStr">
        <is>
          <t>Thang màu</t>
        </is>
      </c>
    </row>
    <row r="170">
      <c r="A170" s="15" t="inlineStr">
        <is>
          <t>template</t>
        </is>
      </c>
      <c r="B170" s="15" t="inlineStr">
        <is>
          <t>citation_word</t>
        </is>
      </c>
      <c r="C170" s="9" t="inlineStr">
        <is>
          <t>Citation</t>
        </is>
      </c>
      <c r="D170" s="9" t="inlineStr">
        <is>
          <t>الاقتباس</t>
        </is>
      </c>
      <c r="E170" s="9" t="inlineStr">
        <is>
          <t>Cita</t>
        </is>
      </c>
      <c r="F170" s="9" t="inlineStr">
        <is>
          <t>引用</t>
        </is>
      </c>
      <c r="G170" s="9" t="inlineStr">
        <is>
          <t>引用</t>
        </is>
      </c>
      <c r="H170" s="9" t="inlineStr">
        <is>
          <t>Citat</t>
        </is>
      </c>
      <c r="I170" s="9" t="inlineStr">
        <is>
          <t>Citace</t>
        </is>
      </c>
      <c r="J170" s="9" t="inlineStr">
        <is>
          <t>Citat</t>
        </is>
      </c>
      <c r="K170" s="9" t="inlineStr">
        <is>
          <t>Bronvermelding</t>
        </is>
      </c>
      <c r="L170" s="9" t="inlineStr">
        <is>
          <t>Viittaus</t>
        </is>
      </c>
      <c r="M170" s="9" t="inlineStr">
        <is>
          <t>Citation</t>
        </is>
      </c>
      <c r="N170" s="8" t="inlineStr">
        <is>
          <t>Zitiervorschlag</t>
        </is>
      </c>
      <c r="O170" s="9" t="inlineStr">
        <is>
          <t>Παραπομπή</t>
        </is>
      </c>
      <c r="P170" s="9" t="inlineStr">
        <is>
          <t>ambato</t>
        </is>
      </c>
      <c r="Q170" s="9" t="inlineStr">
        <is>
          <t>उद्धरण</t>
        </is>
      </c>
      <c r="R170" s="9" t="inlineStr">
        <is>
          <t>Kutipan</t>
        </is>
      </c>
      <c r="S170" s="9" t="inlineStr">
        <is>
          <t>Citazione</t>
        </is>
      </c>
      <c r="T170" s="3" t="inlineStr">
        <is>
          <t>引用</t>
        </is>
      </c>
      <c r="U170" s="3" t="inlineStr">
        <is>
          <t>출처</t>
        </is>
      </c>
      <c r="V170" s="3" t="inlineStr">
        <is>
          <t>Ngā Kōrero Hautoa</t>
        </is>
      </c>
      <c r="W170" s="3" t="inlineStr">
        <is>
          <t>उद्धरण</t>
        </is>
      </c>
      <c r="X170" s="44" t="inlineStr">
        <is>
          <t>ارجاع</t>
        </is>
      </c>
      <c r="Y170" s="3" t="inlineStr">
        <is>
          <t>Citação</t>
        </is>
      </c>
      <c r="Z170" s="3" t="inlineStr">
        <is>
          <t>Citação</t>
        </is>
      </c>
      <c r="AA170" s="3" t="inlineStr">
        <is>
          <t>Cita bibliográfica</t>
        </is>
      </c>
      <c r="AB170" s="3" t="inlineStr">
        <is>
          <t>Cita bibliográfica</t>
        </is>
      </c>
      <c r="AC170" s="3" t="inlineStr">
        <is>
          <t>மேற்கோள்</t>
        </is>
      </c>
      <c r="AD170" s="3" t="inlineStr">
        <is>
          <t>การ​อ้าง​อิง</t>
        </is>
      </c>
      <c r="AE170" s="3" t="inlineStr">
        <is>
          <t>Alıntı</t>
        </is>
      </c>
      <c r="AF170" s="3" t="inlineStr">
        <is>
          <t>Цитування</t>
        </is>
      </c>
      <c r="AG170" s="3" t="inlineStr">
        <is>
          <t>Trích dẫn</t>
        </is>
      </c>
    </row>
    <row r="171">
      <c r="A171" s="15" t="inlineStr">
        <is>
          <t>template</t>
        </is>
      </c>
      <c r="B171" s="15" t="inlineStr">
        <is>
          <t>executive_summary</t>
        </is>
      </c>
      <c r="C171" s="9" t="inlineStr">
        <is>
          <t>Summary</t>
        </is>
      </c>
      <c r="D171" s="8" t="inlineStr">
        <is>
          <t>ملخص</t>
        </is>
      </c>
      <c r="E171" s="8" t="inlineStr">
        <is>
          <t>Resum</t>
        </is>
      </c>
      <c r="F171" s="9" t="inlineStr">
        <is>
          <t>摘要</t>
        </is>
      </c>
      <c r="G171" s="8" t="inlineStr">
        <is>
          <t>摘要</t>
        </is>
      </c>
      <c r="H171" s="8" t="inlineStr">
        <is>
          <t>Sažetak</t>
        </is>
      </c>
      <c r="I171" s="8" t="inlineStr">
        <is>
          <t>Souhrn</t>
        </is>
      </c>
      <c r="J171" s="9" t="inlineStr">
        <is>
          <t>Resumé</t>
        </is>
      </c>
      <c r="K171" s="9" t="inlineStr">
        <is>
          <t>Samenvatting</t>
        </is>
      </c>
      <c r="L171" s="8" t="inlineStr">
        <is>
          <t>Yhteenveto</t>
        </is>
      </c>
      <c r="M171" s="8" t="inlineStr">
        <is>
          <t>Résumé</t>
        </is>
      </c>
      <c r="N171" s="8" t="inlineStr">
        <is>
          <t>Zusammenfassung</t>
        </is>
      </c>
      <c r="O171" s="8" t="inlineStr">
        <is>
          <t>Περίληψη</t>
        </is>
      </c>
      <c r="P171" s="8" t="inlineStr">
        <is>
          <t>Takaitawa</t>
        </is>
      </c>
      <c r="Q171" s="8" t="inlineStr">
        <is>
          <t>सारांश</t>
        </is>
      </c>
      <c r="R171" s="8" t="inlineStr">
        <is>
          <t>Ringkasan</t>
        </is>
      </c>
      <c r="S171" s="8" t="inlineStr">
        <is>
          <t>Riepilogo</t>
        </is>
      </c>
      <c r="T171" s="3" t="inlineStr">
        <is>
          <t>要旨</t>
        </is>
      </c>
      <c r="U171" s="3" t="inlineStr">
        <is>
          <t>요약</t>
        </is>
      </c>
      <c r="V171" s="3" t="inlineStr">
        <is>
          <t>Whakarāpopototanga</t>
        </is>
      </c>
      <c r="W171" s="3" t="inlineStr">
        <is>
          <t>सारांश</t>
        </is>
      </c>
      <c r="X171" s="44" t="inlineStr">
        <is>
          <t>خلاصه</t>
        </is>
      </c>
      <c r="Y171" s="3" t="inlineStr">
        <is>
          <t>Resumo</t>
        </is>
      </c>
      <c r="Z171" s="3" t="inlineStr">
        <is>
          <t>Resumo</t>
        </is>
      </c>
      <c r="AA171" s="3" t="inlineStr">
        <is>
          <t>Resumen</t>
        </is>
      </c>
      <c r="AB171" s="3" t="inlineStr">
        <is>
          <t>Resumen</t>
        </is>
      </c>
      <c r="AC171" s="3" t="inlineStr">
        <is>
          <t>சுருக்கம்</t>
        </is>
      </c>
      <c r="AD171" s="3" t="inlineStr">
        <is>
          <t>บทสรุป</t>
        </is>
      </c>
      <c r="AE171" s="3" t="inlineStr">
        <is>
          <t>Özet</t>
        </is>
      </c>
      <c r="AF171" s="3" t="inlineStr">
        <is>
          <t>Резюме</t>
        </is>
      </c>
      <c r="AG171" s="3" t="inlineStr">
        <is>
          <t>Tóm tắt</t>
        </is>
      </c>
    </row>
    <row r="172">
      <c r="A172" s="15" t="inlineStr">
        <is>
          <t>template</t>
        </is>
      </c>
      <c r="B172" s="15" t="inlineStr">
        <is>
          <t>summary_policy</t>
        </is>
      </c>
      <c r="C172" s="9" t="inlineStr">
        <is>
          <t>After reviewing results for your city, provide a contextualised summary by modifying 
the “summary_policy” text for each configured language within the region configuration file.</t>
        </is>
      </c>
      <c r="D172" s="8" t="inlineStr">
        <is>
          <t>بعد مراجعة النتائج الخاصة بمدينتك، قم بتوفير ملخص سياقي عن طريق تعديل نص "summary_policy" لكل لغة تم تكوينها داخل ملف تكوين المنطقة.</t>
        </is>
      </c>
      <c r="E172" s="8" t="inlineStr">
        <is>
          <t>Després de revisar els resultats de la vostra ciutat, proporcioneu un resum contextualitzat modificant el text "summary_policy" per a cada idioma configurat dins del fitxer de configuració de la regió.</t>
        </is>
      </c>
      <c r="F172" s="9" t="inlineStr">
        <is>
          <t>查看您所在城市的结果后，通过修改区域配置文件中每种配置语言的“summary_policy”文本来提供上下文摘要。</t>
        </is>
      </c>
      <c r="G172" s="8" t="inlineStr">
        <is>
          <t>查看您所在城市的結果後，透過修改區域設定檔中每種設定語言的「summary_policy」文字來提供上下文摘要。</t>
        </is>
      </c>
      <c r="H172" s="8" t="inlineStr">
        <is>
          <t>Nakon pregleda rezultata za vaš grad, pružite kontekstualizirani sažetak izmjenom teksta "summary_policy" za svaki konfigurirani jezik unutar konfiguracijske datoteke regije.</t>
        </is>
      </c>
      <c r="I172" s="8" t="inlineStr">
        <is>
          <t>Po kontrole výsledků pro vaše město poskytněte kontextový souhrn úpravou textu „summary_policy“ pro každý nakonfigurovaný jazyk v konfiguračním souboru regionu.</t>
        </is>
      </c>
      <c r="J172" s="9" t="inlineStr">
        <is>
          <t>Når du har gennemgået resultaterne for din by, skal du give et kontekstualiseret resumé ved at ændre "summary_policy"-teksten for hvert konfigureret sprog i regionkonfigurationsfilen.</t>
        </is>
      </c>
      <c r="K172" s="9" t="inlineStr">
        <is>
          <t>Nadat u de resultaten voor uw stad heeft bekeken, kunt u een gecontextualiseerde samenvatting geven door de 'summary_policy'-tekst voor elke geconfigureerde taal in het regioconfiguratiebestand aan te passen.</t>
        </is>
      </c>
      <c r="L172" s="8" t="inlineStr">
        <is>
          <t xml:space="preserve">Kun olet tarkistanut kaupunkisi/kaupunkialueesi tulokset, muokkaa raportin tiivistelmää asetustiedoston yhteenveto-osiossa.  </t>
        </is>
      </c>
      <c r="M172" s="8" t="inlineStr">
        <is>
          <t>Après avoir examiné les résultats pour votre ville, fournissez un résumé contextualisé en modifiant le texte « summary_policy » pour chaque langue configurée dans le fichier de configuration de la région.</t>
        </is>
      </c>
      <c r="N172" s="8" t="inlineStr">
        <is>
          <t>Nachdem Sie die Ergebnisse für Ihre Stadt überprüft haben, stellen Sie eine kontextualisierte Zusammenfassung bereit, indem Sie den „summary_policy“ für jede konfigurierte Sprache in der Regionskonfigurationsdatei ändern.</t>
        </is>
      </c>
      <c r="O172" s="8" t="inlineStr">
        <is>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is>
      </c>
      <c r="P172" s="8" t="inlineStr">
        <is>
          <t>Bayan nazarin sakamakon garin ku, samar da taƙaitaccen bayani ta hanyar gyara rubutun "summary_policy" don kowane yare da aka daidaita a cikin fayil ɗin daidaitawar yanki.</t>
        </is>
      </c>
      <c r="Q172" s="8" t="inlineStr">
        <is>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is>
      </c>
      <c r="R172" s="8" t="inlineStr">
        <is>
          <t>Setelah meninjau hasil untuk kota Anda, berikan ringkasan kontekstual dengan memodifikasi teks “summary_policy” untuk setiap bahasa yang dikonfigurasi dalam file konfigurasi wilayah.</t>
        </is>
      </c>
      <c r="S172" s="8" t="inlineStr">
        <is>
          <t>Dopo aver esaminato i risultati per la tua città, fornisci un sommario contestualizzato modificando il testo del "summary_policy" per ciascuna lingua configurata all'interno del file di configurazione della regione.</t>
        </is>
      </c>
      <c r="T172" s="3" t="inlineStr">
        <is>
          <t>あなたの都市の結果を確認した後、地域設定ファイル内の各言語で設定された「summary_policy」テキストを変更して、文脈に応じた要旨を提供してください。</t>
        </is>
      </c>
      <c r="U172" s="3" t="inlineStr">
        <is>
          <t>대상 도시에 대한 결과를 검토한 후, 지역 구성 파일 내 각 언어에 대한 "summary_policy" 텍스트를 수정하여 상황에 맞는 요약을 제공하십시오.</t>
        </is>
      </c>
      <c r="V172" s="3" t="inlineStr">
        <is>
          <t>Whai muri i te arotake i nga hua mo to taone, homai he whakarāpopototanga horopaki ma te whakarereke i te tuhinga "summary_policy" mo ia reo kua whirihorahia i roto i te konae whirihoranga rohe.</t>
        </is>
      </c>
      <c r="W172" s="3" t="inlineStr">
        <is>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is>
      </c>
      <c r="X172" s="44" t="inlineStr">
        <is>
          <t>پس از بررسی نتایج مربوط به شهر خود، با ویرایش متن "summary_policy" برای هر زبان پیکربندی‌شده در فایل پیکربندی منطقه، خلاصه‌ای با توجه به شرایط خاص فراهم کنید.</t>
        </is>
      </c>
      <c r="Y172" s="3" t="inlineStr">
        <is>
          <t>Depois de analisar os resultados da sua cidade, forneça um resumo contextualizado modificando o texto do “summary_policy” para cada idioma configurado no arquivo de configuração da região.</t>
        </is>
      </c>
      <c r="Z172" s="3" t="inlineStr">
        <is>
          <t>Depois de analisar os resultados da sua cidade, forneça um resumo contextualizado modificando o texto do “summary_policy” para cada idioma configurado no arquivo de configuração da região.</t>
        </is>
      </c>
      <c r="AA172" s="3" t="inlineStr">
        <is>
          <t>Después de revisar los resultados de su ciudad, proporcione un resumen contextualizado modificando el texto de "summary_policy" para cada idioma configurado dentro del archivo de configuración de la región.</t>
        </is>
      </c>
      <c r="AB172" s="3" t="inlineStr">
        <is>
          <t>Después de revisar los resultados de su ciudad, proporcione un resumen contextualizado modificando el texto de "summary_policy" para cada idioma configurado dentro del archivo de configuración de la región.</t>
        </is>
      </c>
      <c r="AC172" s="3" t="inlineStr">
        <is>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is>
      </c>
      <c r="AD172" s="3" t="inlineStr">
        <is>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is>
      </c>
      <c r="AE172" s="3" t="inlineStr">
        <is>
          <t>Şehrinize ait bulguları inceledikten sonra, bölge yapılandırma dosyasındaki her yapılandırılmış dil için "summary_policy" metnini değiştirerek bağlamsal bir özet yazın.</t>
        </is>
      </c>
      <c r="AF172" s="3" t="inlineStr">
        <is>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is>
      </c>
      <c r="AG172" s="3" t="inlineStr">
        <is>
          <t>Sau khi xem xét kết quả cho thành phố của bạn, hãy cung cấp bản tóm tắt theo ngữ cảnh bằng cách sửa đổi văn bản “summary_policy” cho từng ngôn ngữ được  cấu hình sẵn trong tệp cấu hình khu vực.</t>
        </is>
      </c>
    </row>
    <row r="173">
      <c r="A173" s="15" t="inlineStr">
        <is>
          <t>template</t>
        </is>
      </c>
      <c r="B173" s="15" t="inlineStr">
        <is>
          <t>summary_spatial</t>
        </is>
      </c>
      <c r="C173" s="9" t="inlineStr">
        <is>
          <t>After reviewing results for your city, provide a contextualised summary by modifying 
the “summary_spatial” text for each configured language within the region configuration file.</t>
        </is>
      </c>
      <c r="D173" s="8" t="inlineStr">
        <is>
          <t>بعد مراجعة النتائج الخاصة بمدينتك، قم بتوفير ملخص سياقي عن طريق تعديل نص "summary_spatial" لكل لغة تم تكوينها داخل ملف تكوين المنطقة.</t>
        </is>
      </c>
      <c r="E173" s="8" t="inlineStr">
        <is>
          <t>Després de revisar els resultats de la vostra ciutat, proporcioneu un resum contextualitzat modificant el text "summary_spatial" per a cada idioma configurat dins del fitxer de configuració de la regió.</t>
        </is>
      </c>
      <c r="F173" s="9" t="inlineStr">
        <is>
          <t>查看您所在城市的结果后，通过修改区域配置文件中每种配置语言的“summary_spatial”文本来提供上下文摘要。</t>
        </is>
      </c>
      <c r="G173" s="8" t="inlineStr">
        <is>
          <t>查看您所在城市的結果後，透過修改區域設定檔中每種設定語言的「summary_spatial」文字來提供上下文摘要。</t>
        </is>
      </c>
      <c r="H173" s="8" t="inlineStr">
        <is>
          <t>Nakon pregleda rezultata za vaš grad, pružite kontekstualizirani sažetak izmjenom teksta "summary_spatial" za svaki konfigurirani jezik unutar konfiguracijske datoteke regije.</t>
        </is>
      </c>
      <c r="I173" s="8" t="inlineStr">
        <is>
          <t>Po kontrole výsledků pro vaše město poskytněte kontextový souhrn úpravou textu „summary_spatial“ pro každý nakonfigurovaný jazyk v konfiguračním souboru regionu.</t>
        </is>
      </c>
      <c r="J173" s="9" t="inlineStr">
        <is>
          <t>Når du har gennemgået resultaterne for din by, skal du give et kontekstualiseret resumé ved at ændre "summary_spatial"-teksten for hvert konfigureret sprog i regionkonfigurationsfilen.</t>
        </is>
      </c>
      <c r="K173" s="9" t="inlineStr">
        <is>
          <t>Nadat u de resultaten voor uw stad heeft bekeken, kunt u een gecontextualiseerde samenvatting geven door de 'summary_spatial'-tekst voor elke geconfigureerde taal in het regioconfiguratiebestand aan te passen.</t>
        </is>
      </c>
      <c r="L173" s="8" t="inlineStr">
        <is>
          <t xml:space="preserve">Kun olet tarkistanut kaupunkisi/kaupunkialueesi tulokset, muokkaa raportin tiivistelmää asetustiedoston yhteenveto-osiossa.  </t>
        </is>
      </c>
      <c r="M173" s="8" t="inlineStr">
        <is>
          <t>Après avoir examiné les résultats pour votre ville, fournissez un résumé contextualisé en modifiant le texte « summary_spatial » pour chaque langue configurée dans le fichier de configuration de la région.</t>
        </is>
      </c>
      <c r="N173" s="8" t="inlineStr">
        <is>
          <t>Nachdem Sie die Ergebnisse für Ihre Stadt überprüft haben, stellen Sie eine kontextualisierte Zusammenfassung bereit, indem Sie den „summary_spatial“ für jede konfigurierte Sprache in der Regionskonfigurationsdatei ändern.</t>
        </is>
      </c>
      <c r="O173" s="8" t="inlineStr">
        <is>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is>
      </c>
      <c r="P173" s="8" t="inlineStr">
        <is>
          <t>Bayan nazarin sakamakon garin ku, samar da taƙaitaccen bayani ta hanyar gyara rubutun "summary_spatial" don kowane yare da aka daidaita a cikin fayil ɗin daidaitawar yanki.</t>
        </is>
      </c>
      <c r="Q173" s="8" t="inlineStr">
        <is>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is>
      </c>
      <c r="R173" s="8" t="inlineStr">
        <is>
          <t>Setelah meninjau hasil untuk kota Anda, berikan ringkasan kontekstual dengan memodifikasi teks “summary_spatial” untuk setiap bahasa yang dikonfigurasi dalam file konfigurasi wilayah.</t>
        </is>
      </c>
      <c r="S173" s="8" t="inlineStr">
        <is>
          <t>Dopo aver esaminato i risultati per la tua città, fornisci un sommario contestualizzato modificando il testo del "summary_spatial" per ciascuna lingua configurata all'interno del file di configurazione della regione.</t>
        </is>
      </c>
      <c r="T173" s="3" t="inlineStr">
        <is>
          <t>あなたの都市の結果を確認した後、地域設定ファイル内の各言語で設定された「summary_spatial」テキストを変更して、文脈に応じた要旨を提供してください。</t>
        </is>
      </c>
      <c r="U173" s="3" t="inlineStr">
        <is>
          <t>대상 도시에 대한 결과를 검토한 후, 지역 구성 파일 내 각 언어에 대한 "summary_spatial" 텍스트를 수정하여 상황에 맞는 요약을 제공하십시오.</t>
        </is>
      </c>
      <c r="V173" s="3" t="inlineStr">
        <is>
          <t>Whai muri i te arotake i nga hua mo to taone, homai he whakarāpopototanga horopaki ma te whakarereke i te tuhinga "summary_spatial" mo ia reo kua whirihorahia i roto i te konae whirihoranga rohe.</t>
        </is>
      </c>
      <c r="W173" s="3" t="inlineStr">
        <is>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is>
      </c>
      <c r="X173" s="44" t="inlineStr">
        <is>
          <t>پس از بررسی نتایج مربوط به شهر خود، با ویرایش متن "summary_spatial" برای هر زبان پیکربندی‌شده در فایل پیکربندی منطقه، خلاصه‌ای با توجه به شرایط خاص فراهم کنید.</t>
        </is>
      </c>
      <c r="Y173" s="3" t="inlineStr">
        <is>
          <t>Depois de analisar os resultados da sua cidade, forneça um resumo contextualizado modificando o texto do “summary_spatial” para cada idioma configurado no arquivo de configuração da região.</t>
        </is>
      </c>
      <c r="Z173" s="3" t="inlineStr">
        <is>
          <t>Depois de analisar os resultados da sua cidade, forneça um resumo contextualizado modificando o texto do “summary_spatial” para cada idioma configurado no arquivo de configuração da região.</t>
        </is>
      </c>
      <c r="AA173" s="3" t="inlineStr">
        <is>
          <t>Después de revisar los resultados de su ciudad, proporcione un resumen contextualizado modificando el texto de "summary_spatial" para cada idioma configurado dentro del archivo de configuración de la región.</t>
        </is>
      </c>
      <c r="AB173" s="3" t="inlineStr">
        <is>
          <t>Después de revisar los resultados de su ciudad, proporcione un resumen contextualizado modificando el texto de "summary_spatial" para cada idioma configurado dentro del archivo de configuración de la región.</t>
        </is>
      </c>
      <c r="AC173" s="3" t="inlineStr">
        <is>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is>
      </c>
      <c r="AD173" s="3" t="inlineStr">
        <is>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is>
      </c>
      <c r="AE173" s="3" t="inlineStr">
        <is>
          <t>Şehrinize ait bulguları inceledikten sonra, bölge yapılandırma dosyasındaki her yapılandırılmış dil için "summary_spatial" metnini değiştirerek bağlamsal bir özet yazın.</t>
        </is>
      </c>
      <c r="AF173" s="3" t="inlineStr">
        <is>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is>
      </c>
      <c r="AG173" s="3" t="inlineStr">
        <is>
          <t>Sau khi xem xét kết quả cho thành phố của bạn, hãy cung cấp bản tóm tắt theo ngữ cảnh bằng cách sửa đổi văn bản “summary_spatial” cho từng ngôn ngữ được  cấu hình sẵn trong tệp cấu hình khu vực.</t>
        </is>
      </c>
    </row>
    <row r="174" ht="105" customHeight="1">
      <c r="A174" s="15" t="inlineStr">
        <is>
          <t>template</t>
        </is>
      </c>
      <c r="B174" s="15" t="inlineStr">
        <is>
          <t>summary_policy_spatial</t>
        </is>
      </c>
      <c r="C174" s="9" t="inlineStr">
        <is>
          <t>After reviewing results for your city, provide a contextualised summary by modifying 
the “summary_policy_spatial” text for each configured language within the region configuration file.</t>
        </is>
      </c>
      <c r="D174" s="8" t="inlineStr">
        <is>
          <t>بعد مراجعة النتائج الخاصة بمدينتك، قم بتوفير ملخص سياقي عن طريق تعديل نص "summary_policy_spatial" لكل لغة تم تكوينها داخل ملف تكوين المنطقة.</t>
        </is>
      </c>
      <c r="E174" s="8" t="inlineStr">
        <is>
          <t>Després de revisar els resultats de la vostra ciutat, proporcioneu un resum contextualitzat modificant el text "summary_policy_spatial" per a cada idioma configurat dins del fitxer de configuració de la regió.</t>
        </is>
      </c>
      <c r="F174" s="9" t="inlineStr">
        <is>
          <t>查看您所在城市的结果后，通过修改区域配置文件中每种配置语言的“summary_policy_spatial”文本来提供上下文摘要。</t>
        </is>
      </c>
      <c r="G174" s="8" t="inlineStr">
        <is>
          <t>查看您所在城市的結果後，透過修改區域設定檔中每種設定語言的「summary_policy_spatial」文字來提供上下文摘要。</t>
        </is>
      </c>
      <c r="H174" s="8" t="inlineStr">
        <is>
          <t>Nakon pregleda rezultata za vaš grad, pružite kontekstualizirani sažetak izmjenom teksta "summary_policy_spatial" za svaki konfigurirani jezik unutar konfiguracijske datoteke regije.</t>
        </is>
      </c>
      <c r="I174" s="8" t="inlineStr">
        <is>
          <t>Po kontrole výsledků pro vaše město poskytněte kontextový souhrn úpravou textu „souhrnu“ pro každý nakonfigurovaný jazyk v konfiguračním souboru regionu.</t>
        </is>
      </c>
      <c r="J174" s="9" t="inlineStr">
        <is>
          <t>Når du har gennemgået resultaterne for din by, skal du give et kontekstualiseret resumé ved at ændre "summary_policy_spatial"-teksten for hvert konfigureret sprog i regionkonfigurationsfilen.</t>
        </is>
      </c>
      <c r="K174" s="9" t="inlineStr">
        <is>
          <t>Nadat u de resultaten voor uw stad heeft bekeken, kunt u een gecontextualiseerde samenvatting geven door de 'summary_policy_spatial'-tekst voor elke geconfigureerde taal in het regioconfiguratiebestand aan te passen.</t>
        </is>
      </c>
      <c r="L174" s="8" t="inlineStr">
        <is>
          <t xml:space="preserve">Kun olet tarkistanut kaupunkisi/kaupunkialueesi tulokset, muokkaa raportin tiivistelmää asetustiedoston yhteenveto-osiossa.  </t>
        </is>
      </c>
      <c r="M174" s="8" t="inlineStr">
        <is>
          <t>Après avoir examiné les résultats pour votre ville, fournissez un résumé contextualisé en modifiant le texte « summary_policy_spatial » pour chaque langue configurée dans le fichier de configuration de la région.</t>
        </is>
      </c>
      <c r="N174" s="8" t="inlineStr">
        <is>
          <t>Nachdem Sie die Ergebnisse für Ihre Stadt überprüft haben, stellen Sie eine kontextualisierte Zusammenfassung bereit, indem Sie den „summary_policy_spatial“ für jede konfigurierte Sprache in der Regionskonfigurationsdatei ändern.</t>
        </is>
      </c>
      <c r="O174" s="8" t="inlineStr">
        <is>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is>
      </c>
      <c r="P174" s="8" t="inlineStr">
        <is>
          <t>Bayan nazarin sakamakon garin ku, samar da taƙaitaccen bayani ta hanyar gyara rubutun "summary_policy_spatial" don kowane yare da aka daidaita a cikin fayil ɗin daidaitawar yanki.</t>
        </is>
      </c>
      <c r="Q174" s="8" t="inlineStr">
        <is>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is>
      </c>
      <c r="R174" s="8" t="inlineStr">
        <is>
          <t>Setelah meninjau hasil untuk kota Anda, berikan ringkasan kontekstual dengan memodifikasi teks “summary_policy_spatial” untuk setiap bahasa yang dikonfigurasi dalam file konfigurasi wilayah.</t>
        </is>
      </c>
      <c r="S174" s="8" t="inlineStr">
        <is>
          <t>Dopo aver esaminato i risultati per la tua città, fornisci un sommario contestualizzato modificando il testo del "summary_policy_spatial" per ciascuna lingua configurata all'interno del file di configurazione della regione.</t>
        </is>
      </c>
      <c r="T174" s="3" t="inlineStr">
        <is>
          <t>あなたの都市の結果を確認した後、地域設定ファイル内の各言語で設定された「summary_policy_spatial」テキストを変更して、文脈に応じた要旨を提供してください。</t>
        </is>
      </c>
      <c r="U174" s="3" t="inlineStr">
        <is>
          <t>대상 도시에 대한 결과를 검토한 후, 지역 구성 파일 내 각 언어에 대한 "summary_policy_spatial" 텍스트를 수정하여 상황에 맞는 요약을 제공하십시오.</t>
        </is>
      </c>
      <c r="V174" s="3" t="inlineStr">
        <is>
          <t>Whai muri i te arotake i nga hua mo to taone, homai he whakarāpopototanga horopaki ma te whakarereke i te tuhinga "summary_policy_spatial" mo ia reo kua whirihorahia i roto i te konae whirihoranga rohe.</t>
        </is>
      </c>
      <c r="W174" s="3" t="inlineStr">
        <is>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is>
      </c>
      <c r="X174" s="44" t="inlineStr">
        <is>
          <t>پس از بررسی نتایج مربوط به شهر خود، با ویرایش متن "summary_policy_spatial" برای هر زبان پیکربندی‌شده در فایل پیکربندی منطقه، خلاصه‌ای با توجه به شرایط خاص فراهم کنید.</t>
        </is>
      </c>
      <c r="Y174" s="3" t="inlineStr">
        <is>
          <t>Depois de analisar os resultados da sua cidade, forneça um resumo contextualizado modificando o texto do “summary_policy_spatial” para cada idioma configurado no arquivo de configuração da região.</t>
        </is>
      </c>
      <c r="Z174" s="3" t="inlineStr">
        <is>
          <t>Depois de analisar os resultados da sua cidade, forneça um resumo contextualizado modificando o texto do “summary_policy_spatial” para cada idioma configurado no arquivo de configuração da região.</t>
        </is>
      </c>
      <c r="AA174" s="3" t="inlineStr">
        <is>
          <t>Después de revisar los resultados de su ciudad, proporcione un resumen contextualizado modificando el texto de "summary_policy_spatial" para cada idioma configurado dentro del archivo de configuración de la región.</t>
        </is>
      </c>
      <c r="AB174" s="3" t="inlineStr">
        <is>
          <t>Después de revisar los resultados de su ciudad, proporcione un resumen contextualizado modificando el texto de "summary_policy_spatial" para cada idioma configurado dentro del archivo de configuración de la región.</t>
        </is>
      </c>
      <c r="AC174" s="3" t="inlineStr">
        <is>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is>
      </c>
      <c r="AD174" s="3" t="inlineStr">
        <is>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is>
      </c>
      <c r="AE174" s="3" t="inlineStr">
        <is>
          <t>Şehrinize ait bulguları inceledikten sonra, bölge yapılandırma dosyasındaki her yapılandırılmış dil için "summary_policy_spatial" metnini değiştirerek bağlamsal bir özet yazın.</t>
        </is>
      </c>
      <c r="AF174" s="3" t="inlineStr">
        <is>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is>
      </c>
      <c r="AG174" s="3" t="inlineStr">
        <is>
          <t>Sau khi xem xét kết quả cho thành phố của bạn, hãy cung cấp bản tóm tắt theo ngữ cảnh bằng cách sửa đổi văn bản “summary_policy_spatial” cho từng ngôn ngữ được  cấu hình sẵn trong tệp cấu hình khu vực.</t>
        </is>
      </c>
    </row>
    <row r="175" ht="105" customHeight="1">
      <c r="A175" s="15" t="inlineStr">
        <is>
          <t>template</t>
        </is>
      </c>
      <c r="B175" s="15" t="inlineStr">
        <is>
          <t>licence_url</t>
        </is>
      </c>
      <c r="C175" s="9" t="inlineStr">
        <is>
          <t>This work is licenced under a Creative Commons CC BY-NC Attribution-NonCommercial 4.0 International License.</t>
        </is>
      </c>
      <c r="D175" s="8" t="inlineStr">
        <is>
          <t>تم ترخيص هذا العمل بموجب ترخيص Creative Commons CC BY-NC Attribution-NonCommercial 4.0 International License.</t>
        </is>
      </c>
      <c r="E175" s="8" t="inlineStr">
        <is>
          <t>Aquesta obra està sota una llicència Creative Commons CC BY-NC Reconeixement-NoComercial 4.0 Internacional.</t>
        </is>
      </c>
      <c r="F175" s="9" t="inlineStr">
        <is>
          <t>本作品根据 Creative Commons CC BY-NC Attribution-NonCommercial 4.0 International License 获得许可。</t>
        </is>
      </c>
      <c r="G175" s="8" t="inlineStr">
        <is>
          <t>本作品根據 Creative Commons CC BY-NC Attribution-NonCommercial 4.0 International License 授權。</t>
        </is>
      </c>
      <c r="H175" s="16" t="inlineStr">
        <is>
          <t>Ovo je djelo licencirano pod međunarodnom licencom Creative Commons CC BY-NC Attribution-NonCommercial 4.0.</t>
        </is>
      </c>
      <c r="I175" s="8" t="inlineStr">
        <is>
          <t>Tato práce podléhá licenci Creative Commons CC BY-NC Attribution-NonCommercial 4.0 International License.</t>
        </is>
      </c>
      <c r="J175" s="16" t="inlineStr">
        <is>
          <t>Dette arbejde er licenseret under en Creative Commons CC BY-NC Attribution-NonCommercial 4.0 International License.</t>
        </is>
      </c>
      <c r="K175" s="16" t="inlineStr">
        <is>
          <t>Dit werk valt onder een Creative Commons CC BY-NC Attribution-NonCommercial 4.0 International-licentie.</t>
        </is>
      </c>
      <c r="L175" s="8" t="inlineStr">
        <is>
          <t>Tämä teos on lisensoitu Creative Commons Nimeä-EiKaupallinen 4.0 Kansainvälinen -lisenssillä (CC BY-NC). Voit tarkastella lisenssiä täällä: https://creativecommons.org/licenses/by-nc/4.0/</t>
        </is>
      </c>
      <c r="M175" s="8" t="inlineStr">
        <is>
          <t>Ce travail est sous licence Creative Commons CC BY-NC Attribution-NonCommercial 4.0 International License.</t>
        </is>
      </c>
      <c r="N175" s="8" t="inlineStr">
        <is>
          <t>Dieses Werk ist unter einer Creative Commons CC BY-NC Attribution-NonCommercial 4.0 International License lizenziert.</t>
        </is>
      </c>
      <c r="O175" s="8" t="inlineStr">
        <is>
          <t>Αυτό το έργο αδειοδοτείται με άδεια Creative Commons CC BY-NC Attribution-NonCommercial 4.0 International License.</t>
        </is>
      </c>
      <c r="P175" s="8" t="inlineStr">
        <is>
          <t>Wannan aikin yana da lasisi ƙarƙashin Creative Commons CC BY-NC Attribution-NonCommercial 4.0 International License.</t>
        </is>
      </c>
      <c r="Q175" s="8" t="inlineStr">
        <is>
          <t>यह कार्य क्रिएटिव कॉमन्स CC BY-NC एट्रिब्यूशन-नॉन-कमर्शियल 4.0 इंटरनेशनल लाइसेंस के तहत लाइसेंस प्राप्त है।</t>
        </is>
      </c>
      <c r="R175" s="8" t="inlineStr">
        <is>
          <t>Karya ini dilisensikan di bawah Lisensi Internasional Creative Commons CC BY-NC Attribution-NonCommercial 4.0.</t>
        </is>
      </c>
      <c r="S175" s="8" t="inlineStr">
        <is>
          <t>Questo lavoro è stato rilasciato in accordo alla licenza internazionale Creative Commons CC BY-NC Attribuzione-Non commerciale 4.0.</t>
        </is>
      </c>
      <c r="T175" s="3" t="inlineStr">
        <is>
          <t>これは、クリエイティブコモンズCC BY-NC表示-非営利4.0国際ライセンスに基づいてライセンスされています。</t>
        </is>
      </c>
      <c r="U175" s="3" t="inlineStr">
        <is>
          <t>이 저작물은 Creative Commons CC BY-NC Attribution-NonCommercial 4.0 International License에 따라 저작권이 부여됩니다.</t>
        </is>
      </c>
      <c r="V175" s="3" t="inlineStr">
        <is>
          <t>Kua raihanatia tenei mahi i raro i te Creative Commons CC BY-NC Attribution-NonCommercial 4.0 International License.</t>
        </is>
      </c>
      <c r="W175" s="3" t="inlineStr">
        <is>
          <t>यो काम क्रिएटिभ कमन्स CC BY-NC एट्रिब्युशन-नन कमर्शियल 4.0 अन्तर्राष्ट्रिय इजाजतपत्र अन्तर्गत इजाजतपत्र दिइएको छ।</t>
        </is>
      </c>
      <c r="X175" s="44" t="inlineStr">
        <is>
          <t>این اثر تحت مجوز Creative Commons CC BY-NC Attribution-NonCommercial 4.0 International License  منتشر شده است.</t>
        </is>
      </c>
      <c r="Y175" s="3" t="inlineStr">
        <is>
          <t>Este trabalho está licenciado sob uma Licença Creative Commons CC BY-NC Attribution-NonCommercial 4.0 International.</t>
        </is>
      </c>
      <c r="Z175" s="3" t="inlineStr">
        <is>
          <t>Este trabalho está licenciado sob uma Licença Creative Commons CC BY-NC Attribution-NonCommercial 4.0 International.</t>
        </is>
      </c>
      <c r="AA175" s="3" t="inlineStr">
        <is>
          <t>Este trabajo está bajo una licencia Creative Commons CC BY-NC Atribución-No Comercial 4.0 Internacional.</t>
        </is>
      </c>
      <c r="AB175" s="3" t="inlineStr">
        <is>
          <t>Este trabajo está bajo una licencia Creative Commons CC BY-NC Atribución-No Comercial 4.0 Internacional.</t>
        </is>
      </c>
      <c r="AC175" s="3" t="inlineStr">
        <is>
          <t>இந்த வேலை கிரியேட்டிவ் காமன்ஸ் CC BY-NC Attribution-NonCommercial 4.0 சர்வதேச உரிமத்தின் கீழ் உரிமம் பெற்றது.</t>
        </is>
      </c>
      <c r="AD175" s="3" t="inlineStr">
        <is>
          <t>งาน​นี้​ได้​รับ​อนุญาต​ภาย​ใต้ Creative Commons CC BY-NC Attribution-NonCommercial 4.0 International License</t>
        </is>
      </c>
      <c r="AE175" s="3" t="inlineStr">
        <is>
          <t>Bu çalışma Creative Commons CC BY-NC Atıf-GayriTicari 4.0 Uluslararası Lisansı kapsamında lisanslanmıştır.</t>
        </is>
      </c>
      <c r="AF175" s="3" t="inlineStr">
        <is>
          <t>Цей твір ліцензовано за міжнародною ліцензією Creative Commons CC BY-NC Attribution-NonCommercial 4.0.</t>
        </is>
      </c>
      <c r="AG175" s="3" t="inlineStr">
        <is>
          <t>Tác phẩm này được cấp phép theo Giấy phép Quốc tế Creative Commons CC BY-NC Ghi nhận đóng góp-Phi thương mại 4.0.</t>
        </is>
      </c>
    </row>
    <row r="176" ht="105" customHeight="1">
      <c r="A176" s="15" t="inlineStr">
        <is>
          <t>template</t>
        </is>
      </c>
      <c r="B176" s="15" t="inlineStr">
        <is>
          <t>authors</t>
        </is>
      </c>
      <c r="C176" s="3" t="inlineStr">
        <is>
          <t>City team members: {author_names}</t>
        </is>
      </c>
      <c r="D176" s="3" t="inlineStr">
        <is>
          <t>أعضاء فريق المدينة: {author_names}</t>
        </is>
      </c>
      <c r="E176" s="3" t="inlineStr">
        <is>
          <t>Membres de l'equip de la ciutat: {author_names}</t>
        </is>
      </c>
      <c r="F176" s="3" t="inlineStr">
        <is>
          <t>城市团队成员：{author_names}</t>
        </is>
      </c>
      <c r="G176" s="3" t="inlineStr">
        <is>
          <t>城市團隊成員：{author_names}</t>
        </is>
      </c>
      <c r="H176" s="3" t="inlineStr">
        <is>
          <t>Članovi gradskog tima: {author_names}</t>
        </is>
      </c>
      <c r="I176" s="3" t="inlineStr">
        <is>
          <t>Členové městského týmu: {author_names}</t>
        </is>
      </c>
      <c r="J176" s="3" t="inlineStr">
        <is>
          <t>Medlemmer af byens team: {author_names}</t>
        </is>
      </c>
      <c r="K176" s="3" t="inlineStr">
        <is>
          <t>Leden van het stadsteam: {author_names}</t>
        </is>
      </c>
      <c r="L176" s="3" t="inlineStr">
        <is>
          <t>Kaupunkiryhmän jäsenet: {author_names}</t>
        </is>
      </c>
      <c r="M176" s="3" t="inlineStr">
        <is>
          <t>Membres de l'équipe municipale : {author_names}</t>
        </is>
      </c>
      <c r="N176" s="3" t="inlineStr">
        <is>
          <t>Mitglieder des Stadtteams: {author_names}</t>
        </is>
      </c>
      <c r="O176" s="3" t="inlineStr">
        <is>
          <t>Μέλη της ομάδας πόλης: {author_names}</t>
        </is>
      </c>
      <c r="P176" s="3" t="inlineStr">
        <is>
          <t>Mambobin ƙungiyar birni: {author_names}</t>
        </is>
      </c>
      <c r="Q176" s="3" t="inlineStr">
        <is>
          <t>शहर टीम के सदस्य: {author_names}</t>
        </is>
      </c>
      <c r="R176" s="3" t="inlineStr">
        <is>
          <t>Anggota tim kota: {author_names}</t>
        </is>
      </c>
      <c r="S176" s="3" t="inlineStr">
        <is>
          <t>Membri del team: {author_names}</t>
        </is>
      </c>
      <c r="T176" s="3" t="inlineStr">
        <is>
          <t>都市のチームメンバー: {author_names}</t>
        </is>
      </c>
      <c r="U176" s="3" t="inlineStr">
        <is>
          <t>작성자: {author_names}</t>
        </is>
      </c>
      <c r="V176" s="3" t="inlineStr">
        <is>
          <t>Nga mema o te roopu taone: {author_names}</t>
        </is>
      </c>
      <c r="W176" s="3" t="inlineStr">
        <is>
          <t>सहर टोलीका सदस्यहरू: {author_names}</t>
        </is>
      </c>
      <c r="X176" s="44" t="inlineStr">
        <is>
          <t>اعضای تیم: {author_names}</t>
        </is>
      </c>
      <c r="Y176" s="3" t="inlineStr">
        <is>
          <t>Membros da equipe da cidade: {author_names}</t>
        </is>
      </c>
      <c r="Z176" s="3" t="inlineStr">
        <is>
          <t>Membros da equipe da cidade: {author_names}</t>
        </is>
      </c>
      <c r="AA176" s="3" t="inlineStr">
        <is>
          <t>Miembros del equipo de la ciudad: {author_names}</t>
        </is>
      </c>
      <c r="AB176" s="3" t="inlineStr">
        <is>
          <t>Miembros del equipo de la ciudad: {author_names}</t>
        </is>
      </c>
      <c r="AC176" s="3" t="inlineStr">
        <is>
          <t>நகரக் குழு உறுப்பினர்கள்: {author_names}</t>
        </is>
      </c>
      <c r="AD176" s="3" t="inlineStr">
        <is>
          <t>สมาชิก​ใน​ทีม​ของ​เมือง: {author_names}</t>
        </is>
      </c>
      <c r="AE176" s="3" t="inlineStr">
        <is>
          <t>Şehir takımı üyeleri: {author_names}</t>
        </is>
      </c>
      <c r="AF176" s="3" t="inlineStr">
        <is>
          <t>Члени міської команди: {author_names}</t>
        </is>
      </c>
      <c r="AG176" s="3" t="inlineStr">
        <is>
          <t>Thành viên trong nhóm thành phố này: {author_names}</t>
        </is>
      </c>
    </row>
    <row r="177" ht="60" customHeight="1">
      <c r="A177" s="15" t="inlineStr">
        <is>
          <t>template</t>
        </is>
      </c>
      <c r="B177" s="15" t="inlineStr">
        <is>
          <t>author_names</t>
        </is>
      </c>
      <c r="C177" s="3" t="inlineStr">
        <is>
          <t>Add author names by editing region configuration reporting settings using a text editor</t>
        </is>
      </c>
      <c r="D177" s="3" t="inlineStr">
        <is>
          <t>أضف أسماء المؤلفين عن طريق تحرير إعدادات إعداد التقارير الخاصة بتكوين المنطقة باستخدام محرر النصوص</t>
        </is>
      </c>
      <c r="E177" s="3" t="inlineStr">
        <is>
          <t>Afegiu noms d'autor editant la configuració dels informes de configuració de regió mitjançant un editor de text</t>
        </is>
      </c>
      <c r="F177" s="3" t="inlineStr">
        <is>
          <t>通过使用文本编辑器编辑区域配置报告设置来添加作者姓名</t>
        </is>
      </c>
      <c r="G177" s="3" t="inlineStr">
        <is>
          <t>透過使用文字編輯器編輯區域配置報告設定來新增作者姓名</t>
        </is>
      </c>
      <c r="H177" s="3" t="inlineStr">
        <is>
          <t>Dodajte imena autora uređivanjem postavki izvješća o konfiguraciji regije pomoću uređivača teksta</t>
        </is>
      </c>
      <c r="I177" s="3" t="inlineStr">
        <is>
          <t>Přidejte jména autorů úpravou nastavení hlášení konfigurace regionu pomocí textového editoru</t>
        </is>
      </c>
      <c r="J177" s="3" t="inlineStr">
        <is>
          <t>Tilføj forfatternavne ved at redigere regionskonfigurationsrapporteringsindstillinger ved hjælp af en teksteditor</t>
        </is>
      </c>
      <c r="K177" s="3" t="inlineStr">
        <is>
          <t>Voeg auteursnamen toe door de rapportage-instellingen voor regioconfiguraties te bewerken met een teksteditor</t>
        </is>
      </c>
      <c r="L177" s="3" t="inlineStr">
        <is>
          <t>Lisää tekijöiden nimiä muokkaamalla raportointiasetuksia</t>
        </is>
      </c>
      <c r="M177" s="3" t="inlineStr">
        <is>
          <t>Ajoutez des noms d'auteurs en modifiant les paramètres de création de rapports de configuration de région à l'aide d'un éditeur de texte</t>
        </is>
      </c>
      <c r="N177" s="3" t="inlineStr">
        <is>
          <t>Fügen Sie Autorennamen hinzu, indem Sie die Berichtseinstellungen für die Regionskonfiguration mit einem Texteditor bearbeiten</t>
        </is>
      </c>
      <c r="O177" s="3" t="inlineStr">
        <is>
          <t>Προσθέστε ονόματα συντακτών επεξεργάζοντας τις ρυθμίσεις αναφοράς διαμόρφωσης περιοχής χρησιμοποιώντας ένα πρόγραμμα επεξεργασίας κειμένου</t>
        </is>
      </c>
      <c r="P177" s="3" t="inlineStr">
        <is>
          <t>Ƙara sunayen mawallafi ta hanyar gyara saitunan rahoton daidaitawar yanki ta amfani da editan rubutu</t>
        </is>
      </c>
      <c r="Q177" s="3" t="inlineStr">
        <is>
          <t>टेक्स्ट एडिटर का उपयोग करके क्षेत्र कॉन्फ़िगरेशन रिपोर्टिंग सेटिंग्स को संपादित करके लेखक के नाम जोड़ें</t>
        </is>
      </c>
      <c r="R177" s="3" t="inlineStr">
        <is>
          <t>Tambahkan nama penulis dengan mengedit pengaturan pelaporan konfigurasi wilayah menggunakan editor teks</t>
        </is>
      </c>
      <c r="S177" s="3" t="inlineStr">
        <is>
          <t>Aggiungi i nomi degli autori modificando le impostazioni di reporting della configurazione della regione utilizzando un editor di testo</t>
        </is>
      </c>
      <c r="T177" s="3" t="inlineStr">
        <is>
          <t>テキストエディタを使用して地域設定レポーティング設定を編集して作成者名を追加してください</t>
        </is>
      </c>
      <c r="U177" s="3" t="inlineStr">
        <is>
          <t>문서 편집기로 연구 지역 구성 파일의 보고 설정을 수정하여 작성자 이름을 추가하세요.</t>
        </is>
      </c>
      <c r="V177" s="3" t="inlineStr">
        <is>
          <t>Tāpiri ingoa kaituhi mā te whakatika i ngā tautuhinga pūrongo whirihoranga rohe mā te ētita kuputuhi</t>
        </is>
      </c>
      <c r="W177" s="3" t="inlineStr">
        <is>
          <t>पाठ सम्पादक प्रयोग गरेर क्षेत्र कन्फिगरेसन रिपोर्टिङ सेटिङहरू सम्पादन गरेर लेखक नामहरू थप्नुहोस्</t>
        </is>
      </c>
      <c r="X177" s="44" t="inlineStr">
        <is>
          <t>برای افزودن نام نویسندگان، تنظیمات گزارش‌دهی پیکربندی منطقه را با استفاده از یک ویرایشگر متن ویرایش کنید.</t>
        </is>
      </c>
      <c r="Y177" s="3" t="inlineStr">
        <is>
          <t>Adicione nomes de autores editando as configurações de relatórios de configuração de região usando um editor de texto</t>
        </is>
      </c>
      <c r="Z177" s="3" t="inlineStr">
        <is>
          <t>Adicione nomes de autores editando as configurações de relatórios de configuração de região usando um editor de texto</t>
        </is>
      </c>
      <c r="AA177" s="3" t="inlineStr">
        <is>
          <t>Agregue nombres de autores editando los ajustes de informes de configuración de la región usando un editor de texto</t>
        </is>
      </c>
      <c r="AB177" s="3" t="inlineStr">
        <is>
          <t>Agregue nombres de autores editando los ajustes de la configuración de la región usando un editor de texto</t>
        </is>
      </c>
      <c r="AC177" s="3" t="inlineStr">
        <is>
          <t>உரை திருத்தியைப் பயன்படுத்தி பிராந்திய உள்ளமைவு அறிக்கையிடல் அமைப்புகளைத் திருத்துவதன் மூலம் ஆசிரியர் பெயர்களைச் சேர்க்கவும்</t>
        </is>
      </c>
      <c r="AD177" s="3" t="inlineStr">
        <is>
          <t>เพิ่ม​ชื่อ​ผู้​เขียน​โดย​แก้ไข​การ​ตั้ง​ค่า​การ​รายงาน​การ​กำหนด​ค่า​ภูมิภาค​โดย​ใช้​โปรแกรม​แก้ไข​ข้อ​ความ</t>
        </is>
      </c>
      <c r="AE177" s="3" t="inlineStr">
        <is>
          <t>Bir metin düzenleyici aracılığıyla bölge yapılandırma dosyasındaki raporlama ayarlarını düzenleyerek yazar adlarını ekleyin</t>
        </is>
      </c>
      <c r="AF177" s="3" t="inlineStr">
        <is>
          <t>Додайте імена авторів, відредагувавши налаштування звітів про конфігурацію регіону за допомогою текстового редактора</t>
        </is>
      </c>
      <c r="AG177" s="3" t="inlineStr">
        <is>
          <t>Thêm tên tác giả bằng cách chỉnh sửa cài đặt báo cáo cấu hình khu vực sử dụng trình soạn thảo văn bản</t>
        </is>
      </c>
    </row>
    <row r="178" ht="30" customHeight="1">
      <c r="A178" s="15" t="inlineStr">
        <is>
          <t>template</t>
        </is>
      </c>
      <c r="B178" s="15" t="inlineStr">
        <is>
          <t>edited</t>
        </is>
      </c>
      <c r="C178" s="3" t="inlineStr">
        <is>
          <t>Report design and editing: {editor_names}</t>
        </is>
      </c>
      <c r="D178" s="3" t="inlineStr">
        <is>
          <t>تصميم التقرير وتحريره: {editor_names}</t>
        </is>
      </c>
      <c r="E178" s="3" t="inlineStr">
        <is>
          <t>Disseny i edició d'informes: {editor_names}</t>
        </is>
      </c>
      <c r="F178" s="3" t="inlineStr">
        <is>
          <t>报告设计和编辑：{editor_names}</t>
        </is>
      </c>
      <c r="G178" s="3" t="inlineStr">
        <is>
          <t>報告設計與編輯：{editor_names}</t>
        </is>
      </c>
      <c r="H178" s="3" t="inlineStr">
        <is>
          <t>Dizajn i uređivanje izvješća: {editor_names}</t>
        </is>
      </c>
      <c r="I178" s="3" t="inlineStr">
        <is>
          <t>Návrh a úprava přehledu: {editor_names}</t>
        </is>
      </c>
      <c r="J178" s="3" t="inlineStr">
        <is>
          <t>Rapportdesign og redigering: {editor_names}</t>
        </is>
      </c>
      <c r="K178" s="3" t="inlineStr">
        <is>
          <t>Ontwerp en redactie van rapporten: {editor_names}</t>
        </is>
      </c>
      <c r="L178" s="3" t="inlineStr">
        <is>
          <t>Raportin suunnittelu ja muokkaus: {editor_names}</t>
        </is>
      </c>
      <c r="M178" s="3" t="inlineStr">
        <is>
          <t>Conception et édition du rapport : {editor_names}</t>
        </is>
      </c>
      <c r="N178" s="3" t="inlineStr">
        <is>
          <t>Berichtsdesign und -bearbeitung: {editor_names}</t>
        </is>
      </c>
      <c r="O178" s="3" t="inlineStr">
        <is>
          <t>Σχεδιασμός και επεξεργασία αναφορών: {editor_names}</t>
        </is>
      </c>
      <c r="P178" s="3" t="inlineStr">
        <is>
          <t>Rahoton ƙira da gyarawa: {editor_names}</t>
        </is>
      </c>
      <c r="Q178" s="3" t="inlineStr">
        <is>
          <t>रिपोर्ट डिज़ाइन और संपादन: {editor_names}</t>
        </is>
      </c>
      <c r="R178" s="3" t="inlineStr">
        <is>
          <t>Desain dan pengeditan laporan: {editor_names}</t>
        </is>
      </c>
      <c r="S178" s="3" t="inlineStr">
        <is>
          <t>Progettazione e modifica del report: {editor_names}</t>
        </is>
      </c>
      <c r="T178" s="3" t="inlineStr">
        <is>
          <t>レポートのデザインと編集: {editor_names}</t>
        </is>
      </c>
      <c r="U178" s="3" t="inlineStr">
        <is>
          <t>보고서 디자인 및 편집: {editor_names}</t>
        </is>
      </c>
      <c r="V178" s="3" t="inlineStr">
        <is>
          <t>Ripoata hoahoa me te whakatika: {editor_names}</t>
        </is>
      </c>
      <c r="W178" s="3" t="inlineStr">
        <is>
          <t>रिपोर्ट डिजाइन र सम्पादन: {editor_names}</t>
        </is>
      </c>
      <c r="X178" s="44" t="inlineStr">
        <is>
          <t>طراحی و ویرایش گزارش: {editor_names}</t>
        </is>
      </c>
      <c r="Y178" s="3" t="inlineStr">
        <is>
          <t>Design e edição do relatório: {editor_names}</t>
        </is>
      </c>
      <c r="Z178" s="3" t="inlineStr">
        <is>
          <t>Design e edição do relatório: {editor_names}</t>
        </is>
      </c>
      <c r="AA178" s="3" t="inlineStr">
        <is>
          <t>Diseño y edición de informes: {editor_names}</t>
        </is>
      </c>
      <c r="AB178" s="3" t="inlineStr">
        <is>
          <t>Diseño y edición de informes: {editor_names}</t>
        </is>
      </c>
      <c r="AC178" s="3" t="inlineStr">
        <is>
          <t>அறிக்கை வடிவமைப்பு மற்றும் திருத்தம்: {editor_names}</t>
        </is>
      </c>
      <c r="AD178" s="3" t="inlineStr">
        <is>
          <t>การ​ออก​แบบ​และ​แก้ไข​รายงาน: {editor_names}</t>
        </is>
      </c>
      <c r="AE178" s="3" t="inlineStr">
        <is>
          <t>Rapor tasarımı ve düzenleme: {editor_names}</t>
        </is>
      </c>
      <c r="AF178" s="3" t="inlineStr">
        <is>
          <t>Розробка та редагування звіту: {editor_names}</t>
        </is>
      </c>
      <c r="AG178" s="3" t="inlineStr">
        <is>
          <t>Thiết kế và chỉnh sửa báo cáo: {editor_names}</t>
        </is>
      </c>
    </row>
    <row r="179" ht="60" customHeight="1">
      <c r="A179" s="15" t="inlineStr">
        <is>
          <t>template</t>
        </is>
      </c>
      <c r="B179" s="15" t="inlineStr">
        <is>
          <t>translation</t>
        </is>
      </c>
      <c r="C179" s="9" t="inlineStr">
        <is>
          <t>Translation: {translation_names}</t>
        </is>
      </c>
      <c r="D179" s="9" t="inlineStr">
        <is>
          <t>الترجمة: {translation_names}</t>
        </is>
      </c>
      <c r="E179" s="9" t="inlineStr">
        <is>
          <t>Traducció: {translation_names}</t>
        </is>
      </c>
      <c r="F179" s="9" t="inlineStr">
        <is>
          <t>翻译：{translation_names}</t>
        </is>
      </c>
      <c r="G179" s="9" t="inlineStr">
        <is>
          <t>翻譯：{translation_names}</t>
        </is>
      </c>
      <c r="H179" s="9" t="inlineStr">
        <is>
          <t>Prijevod: {translation_names}</t>
        </is>
      </c>
      <c r="I179" s="9" t="inlineStr">
        <is>
          <t>Překlad: {translation_names}</t>
        </is>
      </c>
      <c r="J179" s="9" t="inlineStr">
        <is>
          <t>Oversættelse: {translation_names}</t>
        </is>
      </c>
      <c r="K179" s="9" t="inlineStr">
        <is>
          <t>Vertaling: {translation_names}</t>
        </is>
      </c>
      <c r="L179" s="9" t="inlineStr">
        <is>
          <t>Käännös: {translation_names}</t>
        </is>
      </c>
      <c r="M179" s="9" t="inlineStr">
        <is>
          <t>Traduction : {translation_names}</t>
        </is>
      </c>
      <c r="N179" s="9" t="inlineStr">
        <is>
          <t>Übersetzung: {translation_names}</t>
        </is>
      </c>
      <c r="O179" s="9" t="inlineStr">
        <is>
          <t>Μετάφραση: {translation_names}</t>
        </is>
      </c>
      <c r="P179" s="9" t="inlineStr">
        <is>
          <t>Fassara: {translation_names}</t>
        </is>
      </c>
      <c r="Q179" s="9" t="inlineStr">
        <is>
          <t>अनुवाद: {translation_names}</t>
        </is>
      </c>
      <c r="R179" s="9" t="inlineStr">
        <is>
          <t>Terjemahan: {translation_names}</t>
        </is>
      </c>
      <c r="S179" s="9" t="inlineStr">
        <is>
          <t>Traduzione: {translation_names}</t>
        </is>
      </c>
      <c r="T179" s="3" t="inlineStr">
        <is>
          <t>翻訳補助: {translation_names}</t>
        </is>
      </c>
      <c r="U179" s="3" t="inlineStr">
        <is>
          <t>번역: {translation_names}</t>
        </is>
      </c>
      <c r="V179" s="3" t="inlineStr">
        <is>
          <t>Whakamaoritanga: {translation_names}</t>
        </is>
      </c>
      <c r="W179" s="3" t="inlineStr">
        <is>
          <t>अनुवाद: {translation_names}</t>
        </is>
      </c>
      <c r="X179" s="44" t="inlineStr">
        <is>
          <t>ترجمه: {translation_names}</t>
        </is>
      </c>
      <c r="Y179" s="3" t="inlineStr">
        <is>
          <t>Tradução: {translation_names}</t>
        </is>
      </c>
      <c r="Z179" s="3" t="inlineStr">
        <is>
          <t>Tradução: {translation_names}</t>
        </is>
      </c>
      <c r="AA179" s="3" t="inlineStr">
        <is>
          <t>Traducción: {translation_names}</t>
        </is>
      </c>
      <c r="AB179" s="3" t="inlineStr">
        <is>
          <t>Traducción: {translation_names}</t>
        </is>
      </c>
      <c r="AC179" s="3" t="inlineStr">
        <is>
          <t>மொழிபெயர்ப்பு: {translation_names}</t>
        </is>
      </c>
      <c r="AD179" s="3" t="inlineStr">
        <is>
          <t>การ​แปล: {translation_names}</t>
        </is>
      </c>
      <c r="AE179" s="3" t="inlineStr">
        <is>
          <t>Çeviri: {translation_names}</t>
        </is>
      </c>
      <c r="AF179" s="3" t="inlineStr">
        <is>
          <t>Переклад: {translation_names}</t>
        </is>
      </c>
      <c r="AG179" s="3" t="inlineStr">
        <is>
          <t>Bản dịch: {translation_names}</t>
        </is>
      </c>
    </row>
    <row r="180" ht="30" customHeight="1">
      <c r="A180" s="15" t="inlineStr">
        <is>
          <t>template</t>
        </is>
      </c>
      <c r="B180" s="15" t="inlineStr">
        <is>
          <t>Policy review conducted by</t>
        </is>
      </c>
      <c r="C180" s="3" t="inlineStr">
        <is>
          <t>Policy review conducted by</t>
        </is>
      </c>
      <c r="D180" s="3" t="inlineStr">
        <is>
          <t>مراجعة السياسة التي أجراها</t>
        </is>
      </c>
      <c r="E180" s="3" t="inlineStr">
        <is>
          <t>Revisió de las políticas realitzada per</t>
        </is>
      </c>
      <c r="F180" s="3" t="inlineStr">
        <is>
          <t>政策审查由</t>
        </is>
      </c>
      <c r="G180" s="3" t="inlineStr">
        <is>
          <t>政策審查由</t>
        </is>
      </c>
      <c r="H180" s="3" t="inlineStr">
        <is>
          <t>Pregled politike proveo</t>
        </is>
      </c>
      <c r="I180" s="3" t="inlineStr">
        <is>
          <t>Přezkum zásad provedl</t>
        </is>
      </c>
      <c r="J180" s="3" t="inlineStr">
        <is>
          <t>Politikgennemgang udført af</t>
        </is>
      </c>
      <c r="K180" s="3" t="inlineStr">
        <is>
          <t>Beleidsonderzoek uitgevoerd door</t>
        </is>
      </c>
      <c r="L180" s="3" t="inlineStr">
        <is>
          <t>Politiikan ohjauskeinojen katsauksen suorittanut</t>
        </is>
      </c>
      <c r="M180" s="3" t="inlineStr">
        <is>
          <t>Examen des politiques mené par</t>
        </is>
      </c>
      <c r="N180" s="3" t="inlineStr">
        <is>
          <t>Richtlinienüberprüfung durchgeführt von</t>
        </is>
      </c>
      <c r="O180" s="3" t="inlineStr">
        <is>
          <t>Ανασκόπηση πολιτικής που πραγματοποιήθηκε από</t>
        </is>
      </c>
      <c r="P180" s="3" t="inlineStr">
        <is>
          <t>Bitar manufofin gudanar da</t>
        </is>
      </c>
      <c r="Q180" s="3" t="inlineStr">
        <is>
          <t>द्वारा नीति समीक्षा संचालित की गई</t>
        </is>
      </c>
      <c r="R180" s="3" t="inlineStr">
        <is>
          <t>Tinjauan kebijakan dilakukan oleh</t>
        </is>
      </c>
      <c r="S180" s="3" t="inlineStr">
        <is>
          <t>Revisione condotta da</t>
        </is>
      </c>
      <c r="T180" s="3" t="inlineStr">
        <is>
          <t>政策レビューの実施</t>
        </is>
      </c>
      <c r="U180" s="3" t="inlineStr">
        <is>
          <t>정책 검토</t>
        </is>
      </c>
      <c r="V180" s="3" t="inlineStr">
        <is>
          <t>Te arotake kaupapa here i whakahaerehia e</t>
        </is>
      </c>
      <c r="W180" s="3" t="inlineStr">
        <is>
          <t>द्वारा संचालित नीति समीक्षा</t>
        </is>
      </c>
      <c r="X180" s="44" t="inlineStr">
        <is>
          <t>بررسی سیاست انجام شده توسط</t>
        </is>
      </c>
      <c r="Y180" s="3" t="inlineStr">
        <is>
          <t>Revisão de política conduzida por</t>
        </is>
      </c>
      <c r="Z180" s="3" t="inlineStr">
        <is>
          <t>Revisão de política conduzida por</t>
        </is>
      </c>
      <c r="AA180" s="3" t="inlineStr">
        <is>
          <t>Revisión de políticas realizada por</t>
        </is>
      </c>
      <c r="AB180" s="3" t="inlineStr">
        <is>
          <t>Revisión de políticas realizada por</t>
        </is>
      </c>
      <c r="AC180" s="3" t="inlineStr">
        <is>
          <t>கொள்கை மதிப்பாய்வு நடத்தியது</t>
        </is>
      </c>
      <c r="AD180" s="3" t="inlineStr">
        <is>
          <t>ทบทวน​นโยบาย​โดย</t>
        </is>
      </c>
      <c r="AE180" s="3" t="inlineStr">
        <is>
          <t>Politika incelemesi yürütücüsü</t>
        </is>
      </c>
      <c r="AF180" s="3" t="inlineStr">
        <is>
          <t>Огляд політики проведено</t>
        </is>
      </c>
      <c r="AG180" s="3" t="inlineStr">
        <is>
          <t>Đánh giá chính sách được thực hiện bởi</t>
        </is>
      </c>
    </row>
    <row r="181">
      <c r="A181" s="17" t="inlineStr">
        <is>
          <t>template</t>
        </is>
      </c>
      <c r="B181" s="15" t="inlineStr">
        <is>
          <t>translation_names</t>
        </is>
      </c>
      <c r="D181" s="2" t="inlineStr">
        <is>
          <t>أمل  السيابية</t>
        </is>
      </c>
      <c r="E181" s="2" t="inlineStr">
        <is>
          <t>Xavier Delclòs Alió, Joan Carles Martori, Javier Molina-García, Anna Puig-Ribera, Ana Queralt &amp; Guillem Vich</t>
        </is>
      </c>
      <c r="F181" s="2" t="inlineStr">
        <is>
          <t>Shiqin Liu, Poh-Chin Lai, Paulina Pui-Yun Wong, Wenhui Cai</t>
        </is>
      </c>
      <c r="G181" s="3" t="inlineStr">
        <is>
          <t>Shiqin Liu, Poh-Chin Lai, Paulina Pui-Yun Wong, Wenhui Cai</t>
        </is>
      </c>
      <c r="I181" s="2" t="inlineStr">
        <is>
          <t>Jan Dygrýn, Josef Mitáš</t>
        </is>
      </c>
      <c r="J181" s="2" t="inlineStr">
        <is>
          <t>Jens Troelsen, Jasper Schipperijn</t>
        </is>
      </c>
      <c r="K181" s="21" t="inlineStr">
        <is>
          <t>Delfien Van Dyck</t>
        </is>
      </c>
      <c r="L181" s="2" t="inlineStr">
        <is>
          <t>Linda Karjalainen, Vuokko Heikinheimo</t>
        </is>
      </c>
      <c r="N181" s="2" t="inlineStr">
        <is>
          <t>Klaus Gebel &amp; Sylvia Titze</t>
        </is>
      </c>
      <c r="P181" s="2" t="inlineStr">
        <is>
          <t>Isa Muhammad Tanko</t>
        </is>
      </c>
      <c r="S181" s="2" t="inlineStr">
        <is>
          <t>Rossano Schifanella</t>
        </is>
      </c>
      <c r="T181" s="2" t="inlineStr">
        <is>
          <t>樋野公宏</t>
        </is>
      </c>
      <c r="U181" s="2" t="inlineStr">
        <is>
          <t>김지윤, 하재현</t>
        </is>
      </c>
      <c r="V181" s="2" t="inlineStr">
        <is>
          <t>Hunaara Waerehu</t>
        </is>
      </c>
      <c r="X181" s="2" t="inlineStr">
        <is>
          <t>Mohammad Sadegh Anisi</t>
        </is>
      </c>
      <c r="Y181" s="2" t="inlineStr">
        <is>
          <t>Júlio Celso Vargas, Alex Antonio Florindo, Ligia Vizeu Barrozo &amp; Giovani Longo Rosa</t>
        </is>
      </c>
      <c r="Z181" s="2" t="inlineStr">
        <is>
          <t>Maria Paula Santos /Andreia Pizarro /David Vale</t>
        </is>
      </c>
      <c r="AA181" s="2" t="inlineStr">
        <is>
          <t>Eugen Resendiz</t>
        </is>
      </c>
      <c r="AB181" s="2" t="inlineStr">
        <is>
          <t>Javier Molina-García, Ana Queralt, Xavier Delclòs Alió, Joan Carles Martori, Anna Puig-Ribera &amp; Guillem Vich.</t>
        </is>
      </c>
      <c r="AC181" s="2" t="inlineStr">
        <is>
          <t>Felix John</t>
        </is>
      </c>
      <c r="AD181" s="2" t="inlineStr">
        <is>
          <t>กร​สุภา นิตย์​วิมล</t>
        </is>
      </c>
      <c r="AE181" s="2" t="inlineStr">
        <is>
          <t>Hüseyin Küçükali</t>
        </is>
      </c>
      <c r="AG181" s="3" t="inlineStr">
        <is>
          <t>Thanh Phuong Ho</t>
        </is>
      </c>
    </row>
    <row r="182">
      <c r="A182" t="inlineStr">
        <is>
          <t>plot</t>
        </is>
      </c>
      <c r="B182" t="inlineStr">
        <is>
          <t>Percentage of population with access to health services within 400 m</t>
        </is>
      </c>
      <c r="C182" t="inlineStr">
        <is>
          <t>{percent} of the population in {city_name} live within 400m of health services</t>
        </is>
      </c>
    </row>
    <row r="183" ht="30" customFormat="1" customHeight="1" s="2">
      <c r="A183" t="inlineStr">
        <is>
          <t>plot</t>
        </is>
      </c>
      <c r="B183" t="inlineStr">
        <is>
          <t>Health services</t>
        </is>
      </c>
      <c r="C183" t="inlineStr">
        <is>
          <t>Health services</t>
        </is>
      </c>
    </row>
    <row r="184">
      <c r="A184" t="inlineStr">
        <is>
          <t>plot</t>
        </is>
      </c>
      <c r="B184" t="inlineStr">
        <is>
          <t>Percentage of population with public transport access to health services within 400 m</t>
        </is>
      </c>
      <c r="C184" t="inlineStr">
        <is>
          <t>{percent} of the population in {city_name} live within 400m of a health service by public transport</t>
        </is>
      </c>
    </row>
    <row r="185">
      <c r="A185" t="inlineStr">
        <is>
          <t>plot</t>
        </is>
      </c>
      <c r="B185" t="inlineStr">
        <is>
          <t>Percentage of population with access to frequent public transport within 400 m along safe walking routes</t>
        </is>
      </c>
      <c r="C185" t="inlineStr">
        <is>
          <t>{percent} of the population in {city_name} live within 400m of frequent public transport along safe walking routes</t>
        </is>
      </c>
    </row>
    <row r="186">
      <c r="A186" t="inlineStr">
        <is>
          <t>plot</t>
        </is>
      </c>
      <c r="B186" t="inlineStr">
        <is>
          <t>Large public open space</t>
        </is>
      </c>
      <c r="C186" t="inlineStr">
        <is>
          <t>Large public open space</t>
        </is>
      </c>
    </row>
    <row r="187">
      <c r="A187" t="inlineStr">
        <is>
          <t>plot</t>
        </is>
      </c>
      <c r="B187" t="inlineStr">
        <is>
          <t>Percentage of population with access to public open space of area 1.5 hectares or larger</t>
        </is>
      </c>
      <c r="C187" t="inlineStr">
        <is>
          <t>{percent} of the population in {city_name} live within 400m of public open space of at least 1.5 hectares in size</t>
        </is>
      </c>
    </row>
    <row r="188">
      <c r="A188" t="inlineStr">
        <is>
          <t>plot</t>
        </is>
      </c>
      <c r="B188" t="inlineStr">
        <is>
          <t>Percentage of population with access to public open space</t>
        </is>
      </c>
      <c r="C188" t="inlineStr">
        <is>
          <t>{percent} of the population in {city_name} live within 400m of public open space</t>
        </is>
      </c>
    </row>
    <row r="189">
      <c r="A189" t="inlineStr">
        <is>
          <t>plot</t>
        </is>
      </c>
      <c r="B189" t="inlineStr">
        <is>
          <t>Percentage of population with access to any public transport stop or station</t>
        </is>
      </c>
      <c r="C189" t="inlineStr">
        <is>
          <t>{percent} of the population in {city_name} live within 400m of any public transport stop or station, of any service frequency</t>
        </is>
      </c>
    </row>
    <row r="190">
      <c r="A190" t="inlineStr">
        <is>
          <t>plot</t>
        </is>
      </c>
      <c r="B190" t="inlineStr">
        <is>
          <t>Percentage of population with access to daily living destinations</t>
        </is>
      </c>
      <c r="C190" t="inlineStr">
        <is>
          <t>{percent} of the population in {city_name} live within 400m of daily living destinations (fresh food, convenience and public transport)</t>
        </is>
      </c>
    </row>
    <row r="191">
      <c r="A191" t="inlineStr">
        <is>
          <t>plot</t>
        </is>
      </c>
      <c r="B191" t="inlineStr">
        <is>
          <t>Percentage of population with access to all daily living destinations along safe walking routes</t>
        </is>
      </c>
      <c r="C191" t="inlineStr">
        <is>
          <t>{percent} of the population in {city_name} live within 400m of daily living destinations (fresh food, convenience and public transport) along a safe walking network</t>
        </is>
      </c>
    </row>
    <row r="192">
      <c r="A192" t="inlineStr">
        <is>
          <t>plot</t>
        </is>
      </c>
      <c r="B192" t="inlineStr">
        <is>
          <t>Percentage of population with public transport access to community and social facilities within 400 m</t>
        </is>
      </c>
      <c r="C192" t="inlineStr">
        <is>
          <t>{percent} of the population in {city_name} live within 400m of community and social facilities by public transport</t>
        </is>
      </c>
    </row>
    <row r="193">
      <c r="A193" t="inlineStr">
        <is>
          <t>plot</t>
        </is>
      </c>
      <c r="B193" t="inlineStr">
        <is>
          <t>Percentage of population with access to community and social facilities within 400 m</t>
        </is>
      </c>
      <c r="C193" t="inlineStr">
        <is>
          <t>{percent} of the population in {city_name} live within 400m of community and social facilities</t>
        </is>
      </c>
    </row>
  </sheetData>
  <conditionalFormatting sqref="B1:B150 B155:B1048576">
    <cfRule type="duplicateValues" priority="110" dxfId="2"/>
  </conditionalFormatting>
  <conditionalFormatting sqref="B151:B154 C1:BB183">
    <cfRule type="containsBlanks" priority="72" dxfId="0">
      <formula>LEN(TRIM(B1))=0</formula>
    </cfRule>
  </conditionalFormatting>
  <hyperlinks>
    <hyperlink xmlns:r="http://schemas.openxmlformats.org/officeDocument/2006/relationships" ref="A151" r:id="rId1"/>
    <hyperlink xmlns:r="http://schemas.openxmlformats.org/officeDocument/2006/relationships" ref="A152" r:id="rId2"/>
  </hyperlinks>
  <pageMargins left="0.7" right="0.7" top="0.75" bottom="0.75" header="0.3" footer="0.3"/>
  <pageSetup orientation="portrait" paperSize="9" horizontalDpi="1200" verticalDpi="1200"/>
</worksheet>
</file>

<file path=xl/worksheets/sheet7.xml><?xml version="1.0" encoding="utf-8"?>
<worksheet xmlns="http://schemas.openxmlformats.org/spreadsheetml/2006/main">
  <sheetPr>
    <outlinePr summaryBelow="1" summaryRight="1"/>
    <pageSetUpPr/>
  </sheetPr>
  <dimension ref="A1:Q45"/>
  <sheetViews>
    <sheetView showGridLines="0" workbookViewId="0">
      <selection activeCell="I5" sqref="I5"/>
    </sheetView>
  </sheetViews>
  <sheetFormatPr baseColWidth="8" defaultColWidth="8.85546875" defaultRowHeight="15"/>
  <cols>
    <col width="28" customWidth="1" style="27" min="1" max="1"/>
    <col width="15" customWidth="1" min="2" max="3"/>
    <col width="22.7109375" customWidth="1" style="40" min="4" max="5"/>
    <col width="27.42578125" customWidth="1" min="6" max="6"/>
    <col width="30.42578125" customWidth="1" min="7" max="7"/>
    <col width="38.28515625" customWidth="1" min="8" max="9"/>
    <col width="15" customWidth="1" min="10" max="17"/>
  </cols>
  <sheetData>
    <row r="1" ht="54" customFormat="1" customHeight="1" s="2">
      <c r="A1" s="51" t="inlineStr">
        <is>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is>
      </c>
      <c r="I1" s="3" t="n"/>
      <c r="J1" s="3" t="n"/>
      <c r="K1" s="3" t="n"/>
      <c r="L1" s="3" t="n"/>
      <c r="M1" s="3" t="n"/>
      <c r="N1" s="3" t="n"/>
      <c r="O1" s="3" t="n"/>
      <c r="P1" s="3" t="n"/>
      <c r="Q1" s="3" t="n"/>
    </row>
    <row r="2" ht="54" customHeight="1">
      <c r="A2" s="49" t="inlineStr">
        <is>
          <t>Language (bold indicates languages with existing translations requiring updating)</t>
        </is>
      </c>
      <c r="B2" s="49" t="inlineStr">
        <is>
          <t>Translation status</t>
        </is>
      </c>
      <c r="C2" s="49" t="inlineStr">
        <is>
          <t>Default text alignment  (e.g. Arabic and Persian/Farsi are right aligned)</t>
        </is>
      </c>
      <c r="D2" s="49" t="inlineStr">
        <is>
          <t>Name of script</t>
        </is>
      </c>
      <c r="E2" s="52" t="n"/>
      <c r="F2" s="49" t="inlineStr">
        <is>
          <t>Recommended font</t>
        </is>
      </c>
      <c r="G2" s="49" t="inlineStr">
        <is>
          <t>Translator names (add your name to comma-seperated list when satisfied with new translations; translators for any previously translated phrases will be added at the end if not already listed here)</t>
        </is>
      </c>
      <c r="H2" s="49" t="inlineStr">
        <is>
          <t>Translator name(s) in script of translated language</t>
        </is>
      </c>
      <c r="I2" s="49" t="inlineStr">
        <is>
          <t>Earth Engine indicator translations reviewed (added April 2026)</t>
        </is>
      </c>
    </row>
    <row r="3" ht="56.25" customHeight="1">
      <c r="A3" s="53" t="n"/>
      <c r="B3" s="53" t="n"/>
      <c r="C3" s="53" t="n"/>
      <c r="D3" s="41" t="inlineStr">
        <is>
          <t>In English</t>
        </is>
      </c>
      <c r="E3" s="41" t="inlineStr">
        <is>
          <t>In this language/script</t>
        </is>
      </c>
      <c r="F3" s="53" t="n"/>
      <c r="G3" s="53" t="n"/>
      <c r="H3" s="53" t="n"/>
      <c r="I3" s="53" t="n"/>
    </row>
    <row r="4" ht="15" customHeight="1">
      <c r="A4" s="34" t="n"/>
      <c r="B4" s="36" t="n"/>
      <c r="C4" s="36" t="n"/>
      <c r="D4" s="35" t="n"/>
      <c r="E4" s="35" t="n"/>
      <c r="F4" s="36" t="n"/>
      <c r="G4" s="36" t="n"/>
      <c r="H4" s="36" t="n"/>
      <c r="I4" s="36" t="n"/>
    </row>
    <row r="5">
      <c r="A5" s="28" t="inlineStr">
        <is>
          <t>Arabic</t>
        </is>
      </c>
      <c r="B5" s="28" t="inlineStr">
        <is>
          <t>Auto</t>
        </is>
      </c>
      <c r="C5" s="28" t="inlineStr">
        <is>
          <t>Right</t>
        </is>
      </c>
      <c r="D5" s="37" t="inlineStr">
        <is>
          <t>Arabic</t>
        </is>
      </c>
      <c r="E5" s="37" t="inlineStr">
        <is>
          <t>عربي</t>
        </is>
      </c>
      <c r="F5" s="31" t="inlineStr">
        <is>
          <t>Vazirmatn</t>
        </is>
      </c>
      <c r="G5" s="29" t="inlineStr">
        <is>
          <t>Amal Al Siyabi</t>
        </is>
      </c>
      <c r="H5" s="29" t="inlineStr">
        <is>
          <t>أمل  السيابية</t>
        </is>
      </c>
      <c r="I5" s="29" t="inlineStr">
        <is>
          <t xml:space="preserve"> </t>
        </is>
      </c>
    </row>
    <row r="6">
      <c r="A6" s="30" t="inlineStr">
        <is>
          <t>Catalan</t>
        </is>
      </c>
      <c r="B6" s="31" t="inlineStr">
        <is>
          <t>Hybrid</t>
        </is>
      </c>
      <c r="C6" s="31" t="inlineStr">
        <is>
          <t>Left</t>
        </is>
      </c>
      <c r="D6" s="38" t="inlineStr">
        <is>
          <t>Catalan</t>
        </is>
      </c>
      <c r="E6" s="38" t="inlineStr">
        <is>
          <t>Català</t>
        </is>
      </c>
      <c r="F6" s="31" t="inlineStr">
        <is>
          <t>Dejavu sans</t>
        </is>
      </c>
      <c r="G6" s="32" t="inlineStr">
        <is>
          <t>Javier Molina-García, Ana Queralt, Xavier Delclòs Alió, Joan Carles Martori, Anna Puig-Ribera &amp; Guillem Vich</t>
        </is>
      </c>
      <c r="H6" s="32" t="inlineStr">
        <is>
          <t>Javier Molina-García, Ana Queralt, Xavier Delclòs Alió, Joan Carles Martori, Anna Puig-Ribera &amp; Guillem Vich</t>
        </is>
      </c>
      <c r="I6" s="32" t="inlineStr">
        <is>
          <t xml:space="preserve"> </t>
        </is>
      </c>
    </row>
    <row r="7">
      <c r="A7" s="30" t="inlineStr">
        <is>
          <t>Chinese - Simplified</t>
        </is>
      </c>
      <c r="B7" s="31" t="inlineStr">
        <is>
          <t>Hybrid</t>
        </is>
      </c>
      <c r="C7" s="31" t="inlineStr">
        <is>
          <t>Left</t>
        </is>
      </c>
      <c r="D7" s="38" t="inlineStr">
        <is>
          <t>Chinese - Simplified</t>
        </is>
      </c>
      <c r="E7" s="38" t="inlineStr">
        <is>
          <t>简体中文</t>
        </is>
      </c>
      <c r="F7" s="31" t="inlineStr">
        <is>
          <t>Google Noto Sans Simplified</t>
        </is>
      </c>
      <c r="G7" s="32" t="inlineStr">
        <is>
          <t>Shiqin Liu, Poh-Chin Lai, Paulina Pui-Yun Wong, Wenhui Cai</t>
        </is>
      </c>
      <c r="H7" s="32" t="inlineStr">
        <is>
          <t>Shiqin Liu, Poh-Chin Lai, Paulina Pui-Yun Wong, Wenhui Cai</t>
        </is>
      </c>
      <c r="I7" s="32" t="inlineStr">
        <is>
          <t xml:space="preserve"> </t>
        </is>
      </c>
    </row>
    <row r="8">
      <c r="A8" s="30" t="inlineStr">
        <is>
          <t>Chinese - Traditional</t>
        </is>
      </c>
      <c r="B8" s="31" t="inlineStr">
        <is>
          <t>Hybrid</t>
        </is>
      </c>
      <c r="C8" s="31" t="inlineStr">
        <is>
          <t>Left</t>
        </is>
      </c>
      <c r="D8" s="38" t="inlineStr">
        <is>
          <t>Chinese - Traditional</t>
        </is>
      </c>
      <c r="E8" s="38" t="inlineStr">
        <is>
          <t>繁體中文</t>
        </is>
      </c>
      <c r="F8" s="31" t="inlineStr">
        <is>
          <t>Google Noto Sans Hong Kong</t>
        </is>
      </c>
      <c r="G8" s="32" t="inlineStr">
        <is>
          <t>Shiqin Liu, Poh-Chin Lai, Paulina Pui-Yun Wong, Wenhui Cai</t>
        </is>
      </c>
      <c r="H8" s="32" t="inlineStr">
        <is>
          <t>Shiqin Liu, Poh-Chin Lai, Paulina Pui-Yun Wong, Wenhui Cai</t>
        </is>
      </c>
      <c r="I8" s="32" t="inlineStr">
        <is>
          <t xml:space="preserve"> </t>
        </is>
      </c>
    </row>
    <row r="9">
      <c r="A9" s="31" t="inlineStr">
        <is>
          <t>Croation</t>
        </is>
      </c>
      <c r="B9" s="31" t="inlineStr">
        <is>
          <t>Auto</t>
        </is>
      </c>
      <c r="C9" s="31" t="inlineStr">
        <is>
          <t>Left</t>
        </is>
      </c>
      <c r="D9" s="38" t="inlineStr">
        <is>
          <t>Croation</t>
        </is>
      </c>
      <c r="E9" s="38" t="inlineStr">
        <is>
          <t>Hrvatski</t>
        </is>
      </c>
      <c r="F9" s="31" t="inlineStr">
        <is>
          <t>Dejavu sans</t>
        </is>
      </c>
      <c r="G9" s="32" t="n"/>
      <c r="H9" s="32" t="n"/>
      <c r="I9" s="32" t="inlineStr">
        <is>
          <t xml:space="preserve"> </t>
        </is>
      </c>
    </row>
    <row r="10">
      <c r="A10" s="30" t="inlineStr">
        <is>
          <t>Czech</t>
        </is>
      </c>
      <c r="B10" s="31" t="inlineStr">
        <is>
          <t>Hybrid</t>
        </is>
      </c>
      <c r="C10" s="31" t="inlineStr">
        <is>
          <t>Left</t>
        </is>
      </c>
      <c r="D10" s="38" t="inlineStr">
        <is>
          <t>Czech</t>
        </is>
      </c>
      <c r="E10" s="38" t="inlineStr">
        <is>
          <t>Čeština</t>
        </is>
      </c>
      <c r="F10" s="31" t="inlineStr">
        <is>
          <t>Dejavu sans</t>
        </is>
      </c>
      <c r="G10" s="32" t="n"/>
      <c r="H10" s="32" t="n"/>
      <c r="I10" s="32" t="inlineStr">
        <is>
          <t xml:space="preserve"> </t>
        </is>
      </c>
    </row>
    <row r="11">
      <c r="A11" s="30" t="inlineStr">
        <is>
          <t>Danish</t>
        </is>
      </c>
      <c r="B11" s="31" t="inlineStr">
        <is>
          <t>Hybrid</t>
        </is>
      </c>
      <c r="C11" s="31" t="inlineStr">
        <is>
          <t>Left</t>
        </is>
      </c>
      <c r="D11" s="38" t="inlineStr">
        <is>
          <t>Danish</t>
        </is>
      </c>
      <c r="E11" s="38" t="inlineStr">
        <is>
          <t>Dansk</t>
        </is>
      </c>
      <c r="F11" s="31" t="inlineStr">
        <is>
          <t>Dejavu sans</t>
        </is>
      </c>
      <c r="G11" s="32" t="n"/>
      <c r="H11" s="32" t="n"/>
      <c r="I11" s="32" t="inlineStr">
        <is>
          <t xml:space="preserve"> </t>
        </is>
      </c>
    </row>
    <row r="12">
      <c r="A12" s="30" t="inlineStr">
        <is>
          <t>Dutch</t>
        </is>
      </c>
      <c r="B12" s="31" t="inlineStr">
        <is>
          <t>Hybrid</t>
        </is>
      </c>
      <c r="C12" s="31" t="inlineStr">
        <is>
          <t>Left</t>
        </is>
      </c>
      <c r="D12" s="38" t="inlineStr">
        <is>
          <t>Dutch</t>
        </is>
      </c>
      <c r="E12" s="38" t="inlineStr">
        <is>
          <t>Nederlands</t>
        </is>
      </c>
      <c r="F12" s="31" t="inlineStr">
        <is>
          <t>Dejavu sans</t>
        </is>
      </c>
      <c r="G12" s="45" t="inlineStr">
        <is>
          <t>Delfien Van Dyck</t>
        </is>
      </c>
      <c r="H12" s="45" t="inlineStr">
        <is>
          <t xml:space="preserve">Delfien Van Dyck </t>
        </is>
      </c>
      <c r="I12" s="45" t="inlineStr">
        <is>
          <t xml:space="preserve"> </t>
        </is>
      </c>
    </row>
    <row r="13">
      <c r="A13" s="31" t="inlineStr">
        <is>
          <t>Finnish</t>
        </is>
      </c>
      <c r="B13" s="31" t="inlineStr">
        <is>
          <t>Auto</t>
        </is>
      </c>
      <c r="C13" s="31" t="inlineStr">
        <is>
          <t>Left</t>
        </is>
      </c>
      <c r="D13" s="38" t="inlineStr">
        <is>
          <t>Finnish</t>
        </is>
      </c>
      <c r="E13" s="38" t="inlineStr">
        <is>
          <t>Suomi</t>
        </is>
      </c>
      <c r="F13" s="31" t="inlineStr">
        <is>
          <t>Dejavu sans</t>
        </is>
      </c>
      <c r="G13" s="32" t="n"/>
      <c r="H13" s="32" t="n"/>
      <c r="I13" s="32" t="inlineStr">
        <is>
          <t xml:space="preserve"> </t>
        </is>
      </c>
    </row>
    <row r="14">
      <c r="A14" s="31" t="inlineStr">
        <is>
          <t>French</t>
        </is>
      </c>
      <c r="B14" s="31" t="inlineStr">
        <is>
          <t>Auto</t>
        </is>
      </c>
      <c r="C14" s="31" t="inlineStr">
        <is>
          <t>Left</t>
        </is>
      </c>
      <c r="D14" s="38" t="inlineStr">
        <is>
          <t>French</t>
        </is>
      </c>
      <c r="E14" s="38" t="inlineStr">
        <is>
          <t>Française</t>
        </is>
      </c>
      <c r="F14" s="31" t="inlineStr">
        <is>
          <t>Dejavu sans</t>
        </is>
      </c>
      <c r="G14" s="32" t="n"/>
      <c r="H14" s="32" t="n"/>
      <c r="I14" s="32" t="inlineStr">
        <is>
          <t xml:space="preserve"> </t>
        </is>
      </c>
    </row>
    <row r="15">
      <c r="A15" s="30" t="inlineStr">
        <is>
          <t>German</t>
        </is>
      </c>
      <c r="B15" s="31" t="inlineStr">
        <is>
          <t>Hybrid</t>
        </is>
      </c>
      <c r="C15" s="31" t="inlineStr">
        <is>
          <t>Left</t>
        </is>
      </c>
      <c r="D15" s="38" t="inlineStr">
        <is>
          <t>German</t>
        </is>
      </c>
      <c r="E15" s="38" t="inlineStr">
        <is>
          <t>Deutsch</t>
        </is>
      </c>
      <c r="F15" s="31" t="inlineStr">
        <is>
          <t>Dejavu sans</t>
        </is>
      </c>
      <c r="G15" s="32" t="inlineStr">
        <is>
          <t>Klaus Gebel</t>
        </is>
      </c>
      <c r="H15" s="32" t="inlineStr">
        <is>
          <t>Klaus Gebel</t>
        </is>
      </c>
      <c r="I15" s="32" t="inlineStr">
        <is>
          <t xml:space="preserve"> </t>
        </is>
      </c>
    </row>
    <row r="16">
      <c r="A16" s="33" t="inlineStr">
        <is>
          <t>Greek</t>
        </is>
      </c>
      <c r="B16" s="32" t="inlineStr">
        <is>
          <t>Auto</t>
        </is>
      </c>
      <c r="C16" s="32" t="inlineStr">
        <is>
          <t>Left</t>
        </is>
      </c>
      <c r="D16" s="39" t="inlineStr">
        <is>
          <t>Greek</t>
        </is>
      </c>
      <c r="E16" s="39" t="inlineStr">
        <is>
          <t>Αγγλικά</t>
        </is>
      </c>
      <c r="F16" s="32" t="inlineStr">
        <is>
          <t>Dejavu sans</t>
        </is>
      </c>
      <c r="G16" s="32" t="n"/>
      <c r="H16" s="32" t="n"/>
      <c r="I16" s="32" t="inlineStr">
        <is>
          <t xml:space="preserve"> </t>
        </is>
      </c>
    </row>
    <row r="17">
      <c r="A17" s="30" t="inlineStr">
        <is>
          <t>Hausa</t>
        </is>
      </c>
      <c r="B17" s="31" t="inlineStr">
        <is>
          <t>Hybrid</t>
        </is>
      </c>
      <c r="C17" s="31" t="inlineStr">
        <is>
          <t>Left</t>
        </is>
      </c>
      <c r="D17" s="38" t="inlineStr">
        <is>
          <t>Hausa</t>
        </is>
      </c>
      <c r="E17" s="38" t="inlineStr">
        <is>
          <t>Hausa</t>
        </is>
      </c>
      <c r="F17" s="31" t="inlineStr">
        <is>
          <t>Dejavu sans</t>
        </is>
      </c>
      <c r="G17" s="32" t="n"/>
      <c r="H17" s="32" t="n"/>
      <c r="I17" s="32" t="inlineStr">
        <is>
          <t xml:space="preserve"> </t>
        </is>
      </c>
    </row>
    <row r="18">
      <c r="A18" s="31" t="inlineStr">
        <is>
          <t>Hindi</t>
        </is>
      </c>
      <c r="B18" s="31" t="inlineStr">
        <is>
          <t>Auto</t>
        </is>
      </c>
      <c r="C18" s="31" t="inlineStr">
        <is>
          <t>Left</t>
        </is>
      </c>
      <c r="D18" s="38" t="inlineStr">
        <is>
          <t>Hindi</t>
        </is>
      </c>
      <c r="E18" s="38" t="inlineStr">
        <is>
          <t>हिंदी</t>
        </is>
      </c>
      <c r="F18" s="31" t="inlineStr">
        <is>
          <t>Google Noto Sans Devanagari</t>
        </is>
      </c>
      <c r="G18" s="32" t="n"/>
      <c r="H18" s="32" t="n"/>
      <c r="I18" s="32" t="inlineStr">
        <is>
          <t xml:space="preserve"> </t>
        </is>
      </c>
    </row>
    <row r="19">
      <c r="A19" s="31" t="inlineStr">
        <is>
          <t>Indonesian</t>
        </is>
      </c>
      <c r="B19" s="31" t="inlineStr">
        <is>
          <t>Auto</t>
        </is>
      </c>
      <c r="C19" s="31" t="inlineStr">
        <is>
          <t>Left</t>
        </is>
      </c>
      <c r="D19" s="38" t="inlineStr">
        <is>
          <t>Indonesian</t>
        </is>
      </c>
      <c r="E19" s="38" t="inlineStr">
        <is>
          <t>bahasa Indonesia</t>
        </is>
      </c>
      <c r="F19" s="31" t="inlineStr">
        <is>
          <t>Dejavu sans</t>
        </is>
      </c>
      <c r="G19" s="32" t="n"/>
      <c r="H19" s="32" t="n"/>
      <c r="I19" s="32" t="inlineStr">
        <is>
          <t xml:space="preserve"> </t>
        </is>
      </c>
    </row>
    <row r="20">
      <c r="A20" s="31" t="inlineStr">
        <is>
          <t>Italian</t>
        </is>
      </c>
      <c r="B20" s="31" t="inlineStr">
        <is>
          <t>Auto</t>
        </is>
      </c>
      <c r="C20" s="31" t="inlineStr">
        <is>
          <t>Left</t>
        </is>
      </c>
      <c r="D20" s="38" t="inlineStr">
        <is>
          <t>Italian</t>
        </is>
      </c>
      <c r="E20" s="38" t="inlineStr">
        <is>
          <t>Italiano</t>
        </is>
      </c>
      <c r="F20" s="31" t="inlineStr">
        <is>
          <t>Dejavu sans</t>
        </is>
      </c>
      <c r="G20" s="32" t="n"/>
      <c r="H20" s="32" t="n"/>
      <c r="I20" s="32" t="inlineStr">
        <is>
          <t xml:space="preserve"> </t>
        </is>
      </c>
    </row>
    <row r="21">
      <c r="A21" s="31" t="inlineStr">
        <is>
          <t>Japanese</t>
        </is>
      </c>
      <c r="B21" s="31" t="inlineStr">
        <is>
          <t>Auto</t>
        </is>
      </c>
      <c r="C21" s="31" t="inlineStr">
        <is>
          <t>Left</t>
        </is>
      </c>
      <c r="D21" s="38" t="inlineStr">
        <is>
          <t>Japanese</t>
        </is>
      </c>
      <c r="E21" s="38" t="inlineStr">
        <is>
          <t>日本語</t>
        </is>
      </c>
      <c r="F21" s="31" t="inlineStr">
        <is>
          <t>Google Noto Sans Japanese</t>
        </is>
      </c>
      <c r="G21" s="32" t="inlineStr">
        <is>
          <t>Kimihiro Hino</t>
        </is>
      </c>
      <c r="H21" s="32" t="inlineStr">
        <is>
          <t>樋野 公宏</t>
        </is>
      </c>
      <c r="I21" s="32" t="inlineStr">
        <is>
          <t xml:space="preserve"> </t>
        </is>
      </c>
    </row>
    <row r="22">
      <c r="A22" s="31" t="inlineStr">
        <is>
          <t>Korean</t>
        </is>
      </c>
      <c r="B22" s="31" t="inlineStr">
        <is>
          <t>Auto</t>
        </is>
      </c>
      <c r="C22" s="31" t="inlineStr">
        <is>
          <t>Left</t>
        </is>
      </c>
      <c r="D22" s="38" t="inlineStr">
        <is>
          <t>Korean</t>
        </is>
      </c>
      <c r="E22" s="38" t="inlineStr">
        <is>
          <t>한국인</t>
        </is>
      </c>
      <c r="F22" s="31" t="inlineStr">
        <is>
          <t>Noto Sans Korean</t>
        </is>
      </c>
      <c r="G22" s="32" t="n"/>
      <c r="H22" s="32" t="n"/>
      <c r="I22" s="32" t="inlineStr">
        <is>
          <t xml:space="preserve"> </t>
        </is>
      </c>
    </row>
    <row r="23">
      <c r="A23" s="30" t="inlineStr">
        <is>
          <t>Māori</t>
        </is>
      </c>
      <c r="B23" s="31" t="inlineStr">
        <is>
          <t>Hybrid</t>
        </is>
      </c>
      <c r="C23" s="31" t="inlineStr">
        <is>
          <t>Left</t>
        </is>
      </c>
      <c r="D23" s="38" t="inlineStr">
        <is>
          <t>Māori</t>
        </is>
      </c>
      <c r="E23" s="38" t="inlineStr">
        <is>
          <t>Māori</t>
        </is>
      </c>
      <c r="F23" s="31" t="inlineStr">
        <is>
          <t>Dejavu sans</t>
        </is>
      </c>
      <c r="G23" s="32" t="n"/>
      <c r="H23" s="32" t="n"/>
      <c r="I23" s="32" t="inlineStr">
        <is>
          <t xml:space="preserve"> </t>
        </is>
      </c>
    </row>
    <row r="24">
      <c r="A24" s="31" t="inlineStr">
        <is>
          <t>Nepali</t>
        </is>
      </c>
      <c r="B24" s="31" t="inlineStr">
        <is>
          <t>Auto</t>
        </is>
      </c>
      <c r="C24" s="31" t="inlineStr">
        <is>
          <t>Left</t>
        </is>
      </c>
      <c r="D24" s="38" t="inlineStr">
        <is>
          <t>Nepali</t>
        </is>
      </c>
      <c r="E24" s="38" t="inlineStr">
        <is>
          <t>नेपाली</t>
        </is>
      </c>
      <c r="F24" s="31" t="inlineStr">
        <is>
          <t>Google Noto Sans Devanagari</t>
        </is>
      </c>
      <c r="G24" s="32" t="n"/>
      <c r="H24" s="32" t="n"/>
      <c r="I24" s="32" t="inlineStr">
        <is>
          <t xml:space="preserve"> </t>
        </is>
      </c>
    </row>
    <row r="25">
      <c r="A25" s="31" t="inlineStr">
        <is>
          <t>Persian</t>
        </is>
      </c>
      <c r="B25" s="31" t="inlineStr">
        <is>
          <t>Auto</t>
        </is>
      </c>
      <c r="C25" s="31" t="inlineStr">
        <is>
          <t>Right</t>
        </is>
      </c>
      <c r="D25" s="38" t="inlineStr">
        <is>
          <t>Persian</t>
        </is>
      </c>
      <c r="E25" s="38" t="inlineStr">
        <is>
          <t>فارسی</t>
        </is>
      </c>
      <c r="F25" s="31" t="inlineStr">
        <is>
          <t>Vazirmatn</t>
        </is>
      </c>
      <c r="G25" s="31" t="inlineStr">
        <is>
          <t>Mohammad Sadegh Anisi</t>
        </is>
      </c>
      <c r="H25" s="31" t="inlineStr">
        <is>
          <t>Mohammad Sadegh Anisi</t>
        </is>
      </c>
      <c r="I25" s="31" t="inlineStr">
        <is>
          <t xml:space="preserve"> </t>
        </is>
      </c>
    </row>
    <row r="26">
      <c r="A26" s="30" t="inlineStr">
        <is>
          <t>Portuguese - Brazil</t>
        </is>
      </c>
      <c r="B26" s="31" t="inlineStr">
        <is>
          <t>Hybrid</t>
        </is>
      </c>
      <c r="C26" s="31" t="inlineStr">
        <is>
          <t>Left</t>
        </is>
      </c>
      <c r="D26" s="38" t="inlineStr">
        <is>
          <t>Portuguese - Brazil</t>
        </is>
      </c>
      <c r="E26" s="38" t="inlineStr">
        <is>
          <t>Português do Brasil</t>
        </is>
      </c>
      <c r="F26" s="31" t="inlineStr">
        <is>
          <t>Dejavu sans</t>
        </is>
      </c>
      <c r="G26" s="32" t="inlineStr">
        <is>
          <t>Júlio Celso Vargas, Alex Antonio Florindo, Ligia Vizeu Barrozo &amp; Giovani Longo Rosa</t>
        </is>
      </c>
      <c r="H26" s="32" t="inlineStr">
        <is>
          <t>Júlio Celso Vargas, Alex Antonio Florindo, Ligia Vizeu Barrozo &amp; Giovani Longo Rosa</t>
        </is>
      </c>
      <c r="I26" s="32" t="inlineStr">
        <is>
          <t xml:space="preserve"> </t>
        </is>
      </c>
    </row>
    <row r="27">
      <c r="A27" s="30" t="inlineStr">
        <is>
          <t>Portuguese - Portugal</t>
        </is>
      </c>
      <c r="B27" s="31" t="inlineStr">
        <is>
          <t>Hybrid</t>
        </is>
      </c>
      <c r="C27" s="31" t="inlineStr">
        <is>
          <t>Left</t>
        </is>
      </c>
      <c r="D27" s="38" t="inlineStr">
        <is>
          <t>Portuguese - Portugal</t>
        </is>
      </c>
      <c r="E27" s="38" t="inlineStr">
        <is>
          <t>Português de Portugal</t>
        </is>
      </c>
      <c r="F27" s="31" t="inlineStr">
        <is>
          <t>Dejavu sans</t>
        </is>
      </c>
      <c r="G27" s="32" t="inlineStr">
        <is>
          <t>Maria Paula Santos /Andreia Pizarro /David Vale</t>
        </is>
      </c>
      <c r="H27" s="32" t="inlineStr">
        <is>
          <t>Maria Paula Santos /Andreia Pizarro /David Vale</t>
        </is>
      </c>
      <c r="I27" s="32" t="inlineStr">
        <is>
          <t xml:space="preserve"> </t>
        </is>
      </c>
    </row>
    <row r="28">
      <c r="A28" s="30" t="inlineStr">
        <is>
          <t>Spanish - Mexico</t>
        </is>
      </c>
      <c r="B28" s="31" t="inlineStr">
        <is>
          <t>Hybrid</t>
        </is>
      </c>
      <c r="C28" s="31" t="inlineStr">
        <is>
          <t>Left</t>
        </is>
      </c>
      <c r="D28" s="38" t="inlineStr">
        <is>
          <t>Spanish - Mexico</t>
        </is>
      </c>
      <c r="E28" s="38" t="inlineStr">
        <is>
          <t>Español de México</t>
        </is>
      </c>
      <c r="F28" s="31" t="inlineStr">
        <is>
          <t>Dejavu sans</t>
        </is>
      </c>
      <c r="G28" s="32" t="inlineStr">
        <is>
          <t>Eugen Resendiz</t>
        </is>
      </c>
      <c r="H28" s="32" t="inlineStr">
        <is>
          <t>Eugen Resendiz</t>
        </is>
      </c>
      <c r="I28" s="32" t="inlineStr">
        <is>
          <t xml:space="preserve"> </t>
        </is>
      </c>
    </row>
    <row r="29">
      <c r="A29" s="30" t="inlineStr">
        <is>
          <t>Spanish - Spain</t>
        </is>
      </c>
      <c r="B29" s="31" t="inlineStr">
        <is>
          <t>Hybrid</t>
        </is>
      </c>
      <c r="C29" s="31" t="inlineStr">
        <is>
          <t>Left</t>
        </is>
      </c>
      <c r="D29" s="38" t="inlineStr">
        <is>
          <t>Spanish - Spain</t>
        </is>
      </c>
      <c r="E29" s="38" t="inlineStr">
        <is>
          <t>Español de España</t>
        </is>
      </c>
      <c r="F29" s="31" t="inlineStr">
        <is>
          <t>Dejavu sans</t>
        </is>
      </c>
      <c r="G29" s="32" t="inlineStr">
        <is>
          <t>Javier Molina-García, Ana Queralt, Xavier Delclòs Alió, Joan Carles Martori, Anna Puig-Ribera &amp; Guillem Vich</t>
        </is>
      </c>
      <c r="H29" s="32" t="inlineStr">
        <is>
          <t>Javier Molina-García, Ana Queralt, Xavier Delclòs Alió, Joan Carles Martori, Anna Puig-Ribera &amp; Guillem Vich</t>
        </is>
      </c>
      <c r="I29" s="32" t="inlineStr">
        <is>
          <t xml:space="preserve"> </t>
        </is>
      </c>
    </row>
    <row r="30">
      <c r="A30" s="30" t="inlineStr">
        <is>
          <t>Tamil</t>
        </is>
      </c>
      <c r="B30" s="31" t="inlineStr">
        <is>
          <t>Hybrid</t>
        </is>
      </c>
      <c r="C30" s="31" t="inlineStr">
        <is>
          <t>Left</t>
        </is>
      </c>
      <c r="D30" s="38" t="inlineStr">
        <is>
          <t>Tamil</t>
        </is>
      </c>
      <c r="E30" s="38" t="inlineStr">
        <is>
          <t>தமிழ்</t>
        </is>
      </c>
      <c r="F30" s="31" t="inlineStr">
        <is>
          <t>Google Noto Sans Tamil</t>
        </is>
      </c>
      <c r="G30" s="32" t="n"/>
      <c r="H30" s="32" t="n"/>
      <c r="I30" s="32" t="inlineStr">
        <is>
          <t xml:space="preserve"> </t>
        </is>
      </c>
    </row>
    <row r="31">
      <c r="A31" s="30" t="inlineStr">
        <is>
          <t>Thai</t>
        </is>
      </c>
      <c r="B31" s="31" t="inlineStr">
        <is>
          <t>Hybrid</t>
        </is>
      </c>
      <c r="C31" s="31" t="inlineStr">
        <is>
          <t>Left</t>
        </is>
      </c>
      <c r="D31" s="38" t="inlineStr">
        <is>
          <t>Thai</t>
        </is>
      </c>
      <c r="E31" s="38" t="inlineStr">
        <is>
          <t>ภาษาไทย</t>
        </is>
      </c>
      <c r="F31" s="31" t="inlineStr">
        <is>
          <t>Google Krub</t>
        </is>
      </c>
      <c r="G31" s="32" t="n"/>
      <c r="H31" s="32" t="n"/>
      <c r="I31" s="32" t="inlineStr">
        <is>
          <t xml:space="preserve"> </t>
        </is>
      </c>
    </row>
    <row r="32">
      <c r="A32" s="30" t="inlineStr">
        <is>
          <t>Turkish</t>
        </is>
      </c>
      <c r="B32" s="31" t="inlineStr">
        <is>
          <t>Hybrid</t>
        </is>
      </c>
      <c r="C32" s="31" t="inlineStr">
        <is>
          <t>Left</t>
        </is>
      </c>
      <c r="D32" s="38" t="inlineStr">
        <is>
          <t>Turkish</t>
        </is>
      </c>
      <c r="E32" s="38" t="inlineStr">
        <is>
          <t>Türkçe</t>
        </is>
      </c>
      <c r="F32" s="31" t="inlineStr">
        <is>
          <t>Dejavu sans</t>
        </is>
      </c>
      <c r="G32" s="32" t="inlineStr">
        <is>
          <t>Huseyin Kucukali</t>
        </is>
      </c>
      <c r="H32" s="32" t="inlineStr">
        <is>
          <t>Hüseyin Küçükali</t>
        </is>
      </c>
      <c r="I32" s="32" t="inlineStr">
        <is>
          <t xml:space="preserve"> </t>
        </is>
      </c>
    </row>
    <row r="33">
      <c r="A33" s="30" t="inlineStr">
        <is>
          <t>Ukrainian</t>
        </is>
      </c>
      <c r="B33" s="31" t="inlineStr">
        <is>
          <t>Auto</t>
        </is>
      </c>
      <c r="C33" s="31" t="inlineStr">
        <is>
          <t>Left</t>
        </is>
      </c>
      <c r="D33" s="38" t="inlineStr">
        <is>
          <t>Ukrainian</t>
        </is>
      </c>
      <c r="E33" s="38" t="inlineStr">
        <is>
          <t>Український</t>
        </is>
      </c>
      <c r="F33" s="31" t="inlineStr">
        <is>
          <t>Dejavu sans</t>
        </is>
      </c>
      <c r="G33" s="32" t="n"/>
      <c r="H33" s="32" t="n"/>
      <c r="I33" s="32" t="inlineStr">
        <is>
          <t xml:space="preserve"> </t>
        </is>
      </c>
    </row>
    <row r="34">
      <c r="A34" s="30" t="inlineStr">
        <is>
          <t>Vietnamese</t>
        </is>
      </c>
      <c r="B34" s="31" t="inlineStr">
        <is>
          <t>Hybrid</t>
        </is>
      </c>
      <c r="C34" s="31" t="inlineStr">
        <is>
          <t>Left</t>
        </is>
      </c>
      <c r="D34" s="38" t="inlineStr">
        <is>
          <t>Vietnamese</t>
        </is>
      </c>
      <c r="E34" s="38" t="inlineStr">
        <is>
          <t xml:space="preserve">Tiếng Việt </t>
        </is>
      </c>
      <c r="F34" s="31" t="inlineStr">
        <is>
          <t>Dejavu sans</t>
        </is>
      </c>
      <c r="G34" s="32" t="inlineStr">
        <is>
          <t>Thanh Phuong Ho</t>
        </is>
      </c>
      <c r="H34" s="32" t="inlineStr">
        <is>
          <t>Thanh Phuong Ho</t>
        </is>
      </c>
      <c r="I34" s="32" t="inlineStr">
        <is>
          <t xml:space="preserve"> </t>
        </is>
      </c>
    </row>
    <row r="35">
      <c r="A35" s="33" t="n"/>
      <c r="B35" s="32" t="n"/>
      <c r="C35" s="32" t="n"/>
      <c r="D35" s="39" t="n"/>
      <c r="E35" s="39" t="n"/>
      <c r="F35" s="32" t="n"/>
      <c r="G35" s="32" t="n"/>
      <c r="H35" s="32" t="n"/>
      <c r="I35" s="32" t="inlineStr">
        <is>
          <t xml:space="preserve"> </t>
        </is>
      </c>
    </row>
    <row r="36">
      <c r="A36" s="33" t="n"/>
      <c r="B36" s="32" t="n"/>
      <c r="C36" s="32" t="n"/>
      <c r="D36" s="39" t="n"/>
      <c r="E36" s="39" t="n"/>
      <c r="F36" s="32" t="n"/>
      <c r="G36" s="32" t="n"/>
      <c r="H36" s="32" t="n"/>
      <c r="I36" s="32" t="inlineStr">
        <is>
          <t xml:space="preserve"> </t>
        </is>
      </c>
    </row>
    <row r="37">
      <c r="A37" s="33" t="n"/>
      <c r="B37" s="32" t="n"/>
      <c r="C37" s="32" t="n"/>
      <c r="D37" s="39" t="n"/>
      <c r="E37" s="39" t="n"/>
      <c r="F37" s="32" t="n"/>
      <c r="G37" s="32" t="n"/>
      <c r="H37" s="32" t="n"/>
      <c r="I37" s="32" t="inlineStr">
        <is>
          <t xml:space="preserve"> </t>
        </is>
      </c>
    </row>
    <row r="38">
      <c r="A38" s="33" t="n"/>
      <c r="B38" s="32" t="n"/>
      <c r="C38" s="32" t="n"/>
      <c r="D38" s="39" t="n"/>
      <c r="E38" s="39" t="n"/>
      <c r="F38" s="32" t="n"/>
      <c r="G38" s="32" t="n"/>
      <c r="H38" s="32" t="n"/>
      <c r="I38" s="32" t="inlineStr">
        <is>
          <t xml:space="preserve"> </t>
        </is>
      </c>
    </row>
    <row r="39">
      <c r="A39" s="33" t="n"/>
      <c r="B39" s="32" t="n"/>
      <c r="C39" s="32" t="n"/>
      <c r="D39" s="39" t="n"/>
      <c r="E39" s="39" t="n"/>
      <c r="F39" s="32" t="n"/>
      <c r="G39" s="32" t="n"/>
      <c r="H39" s="32" t="n"/>
      <c r="I39" s="32" t="inlineStr">
        <is>
          <t xml:space="preserve"> </t>
        </is>
      </c>
    </row>
    <row r="40">
      <c r="A40" s="33" t="n"/>
      <c r="B40" s="32" t="n"/>
      <c r="C40" s="32" t="n"/>
      <c r="D40" s="39" t="n"/>
      <c r="E40" s="39" t="n"/>
      <c r="F40" s="32" t="n"/>
      <c r="G40" s="32" t="n"/>
      <c r="H40" s="32" t="n"/>
      <c r="I40" s="32" t="inlineStr">
        <is>
          <t xml:space="preserve"> </t>
        </is>
      </c>
    </row>
    <row r="41">
      <c r="A41" s="33" t="n"/>
      <c r="B41" s="32" t="n"/>
      <c r="C41" s="32" t="n"/>
      <c r="D41" s="39" t="n"/>
      <c r="E41" s="39" t="n"/>
      <c r="F41" s="32" t="n"/>
      <c r="G41" s="32" t="n"/>
      <c r="H41" s="32" t="n"/>
      <c r="I41" s="32" t="inlineStr">
        <is>
          <t xml:space="preserve"> </t>
        </is>
      </c>
    </row>
    <row r="42">
      <c r="A42" s="33" t="n"/>
      <c r="B42" s="32" t="n"/>
      <c r="C42" s="32" t="n"/>
      <c r="D42" s="39" t="n"/>
      <c r="E42" s="39" t="n"/>
      <c r="F42" s="32" t="n"/>
      <c r="G42" s="32" t="n"/>
      <c r="H42" s="32" t="n"/>
      <c r="I42" s="32" t="inlineStr">
        <is>
          <t xml:space="preserve"> </t>
        </is>
      </c>
    </row>
    <row r="43">
      <c r="A43" s="33" t="n"/>
      <c r="B43" s="32" t="n"/>
      <c r="C43" s="32" t="n"/>
      <c r="D43" s="39" t="n"/>
      <c r="E43" s="39" t="n"/>
      <c r="F43" s="32" t="n"/>
      <c r="G43" s="32" t="n"/>
      <c r="H43" s="32" t="n"/>
      <c r="I43" s="32" t="inlineStr">
        <is>
          <t xml:space="preserve"> </t>
        </is>
      </c>
    </row>
    <row r="44">
      <c r="A44" s="33" t="n"/>
      <c r="B44" s="32" t="n"/>
      <c r="C44" s="32" t="n"/>
      <c r="D44" s="39" t="n"/>
      <c r="E44" s="39" t="n"/>
      <c r="F44" s="32" t="n"/>
      <c r="G44" s="32" t="n"/>
      <c r="H44" s="32" t="n"/>
      <c r="I44" s="32" t="inlineStr">
        <is>
          <t xml:space="preserve"> </t>
        </is>
      </c>
    </row>
    <row r="45">
      <c r="A45" s="33" t="n"/>
      <c r="B45" s="32" t="n"/>
      <c r="C45" s="32" t="n"/>
      <c r="D45" s="39" t="n"/>
      <c r="E45" s="39" t="n"/>
      <c r="F45" s="32" t="n"/>
      <c r="G45" s="32" t="n"/>
      <c r="H45" s="32" t="n"/>
      <c r="I45" s="32" t="inlineStr">
        <is>
          <t xml:space="preserve"> </t>
        </is>
      </c>
    </row>
  </sheetData>
  <autoFilter ref="A4:H4">
    <sortState ref="A5:H31">
      <sortCondition ref="A4"/>
    </sortState>
  </autoFilter>
  <mergeCells count="9">
    <mergeCell ref="D2:E2"/>
    <mergeCell ref="I2:I3"/>
    <mergeCell ref="B2:B3"/>
    <mergeCell ref="A2:A3"/>
    <mergeCell ref="A1:H1"/>
    <mergeCell ref="C2:C3"/>
    <mergeCell ref="F2:F3"/>
    <mergeCell ref="H2:H3"/>
    <mergeCell ref="G2:G3"/>
  </mergeCells>
  <conditionalFormatting sqref="A5:A20">
    <cfRule type="containsBlanks" priority="1" dxfId="0">
      <formula>LEN(TRIM(A5))=0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ColWidth="8.85546875" defaultRowHeight="15"/>
  <cols>
    <col width="27.28515625" customWidth="1" min="1" max="1"/>
    <col width="13.42578125" customWidth="1" min="2" max="2"/>
    <col width="20.42578125" customWidth="1" min="3" max="3"/>
    <col width="67" customWidth="1" min="5" max="5"/>
    <col width="9.42578125" customWidth="1" min="6" max="6"/>
    <col width="14.42578125" customWidth="1" min="7" max="8"/>
    <col width="12.85546875" customWidth="1" min="9" max="9"/>
    <col width="78.7109375" customWidth="1" min="10" max="10"/>
  </cols>
  <sheetData>
    <row r="1">
      <c r="A1" s="4" t="inlineStr">
        <is>
          <t>Language</t>
        </is>
      </c>
      <c r="B1" s="4" t="inlineStr">
        <is>
          <t>Install</t>
        </is>
      </c>
      <c r="C1" s="4" t="inlineStr">
        <is>
          <t>Font</t>
        </is>
      </c>
      <c r="D1" s="4" t="inlineStr">
        <is>
          <t>Style</t>
        </is>
      </c>
      <c r="E1" s="4" t="inlineStr">
        <is>
          <t>File</t>
        </is>
      </c>
      <c r="F1" s="4" t="inlineStr">
        <is>
          <t>Align</t>
        </is>
      </c>
      <c r="G1" s="4" t="inlineStr">
        <is>
          <t>Conditional size</t>
        </is>
      </c>
      <c r="H1" s="4" t="inlineStr">
        <is>
          <t>Wrapmode</t>
        </is>
      </c>
      <c r="I1" s="4" t="inlineStr">
        <is>
          <t>Text shaping</t>
        </is>
      </c>
      <c r="J1" s="4" t="inlineStr">
        <is>
          <t>URL</t>
        </is>
      </c>
      <c r="K1" s="4" t="n"/>
    </row>
    <row r="2">
      <c r="A2" t="inlineStr">
        <is>
          <t>default</t>
        </is>
      </c>
      <c r="B2" t="inlineStr">
        <is>
          <t>no</t>
        </is>
      </c>
      <c r="C2" t="inlineStr">
        <is>
          <t>dejavu</t>
        </is>
      </c>
      <c r="E2" t="inlineStr">
        <is>
          <t>configuration/fonts/dejavu-fonts-ttf-2.37/ttf/DejaVuSansCondensed.ttf</t>
        </is>
      </c>
      <c r="F2" t="inlineStr">
        <is>
          <t>Left</t>
        </is>
      </c>
      <c r="H2" t="inlineStr">
        <is>
          <t>WORD</t>
        </is>
      </c>
      <c r="I2" t="b">
        <v>1</v>
      </c>
      <c r="J2" t="inlineStr">
        <is>
          <t>https://github.com/dejavu-fonts/dejavu-fonts/releases/tag/version_2_37</t>
        </is>
      </c>
    </row>
    <row r="3">
      <c r="A3" t="inlineStr">
        <is>
          <t>default</t>
        </is>
      </c>
      <c r="B3" t="inlineStr">
        <is>
          <t>no</t>
        </is>
      </c>
      <c r="C3" t="inlineStr">
        <is>
          <t>dejavu</t>
        </is>
      </c>
      <c r="D3" t="inlineStr">
        <is>
          <t>b</t>
        </is>
      </c>
      <c r="E3" t="inlineStr">
        <is>
          <t>configuration/fonts/dejavu-fonts-ttf-2.37/ttf/DejaVuSansCondensed-Bold.ttf</t>
        </is>
      </c>
      <c r="F3" t="inlineStr">
        <is>
          <t>Left</t>
        </is>
      </c>
      <c r="H3" t="inlineStr">
        <is>
          <t>WORD</t>
        </is>
      </c>
      <c r="I3" t="b">
        <v>1</v>
      </c>
      <c r="J3" t="inlineStr">
        <is>
          <t>https://github.com/dejavu-fonts/dejavu-fonts/releases/tag/version_2_37</t>
        </is>
      </c>
    </row>
    <row r="4">
      <c r="A4" t="inlineStr">
        <is>
          <t>default</t>
        </is>
      </c>
      <c r="B4" t="inlineStr">
        <is>
          <t>no</t>
        </is>
      </c>
      <c r="C4" t="inlineStr">
        <is>
          <t>dejavu</t>
        </is>
      </c>
      <c r="D4" t="inlineStr">
        <is>
          <t>i</t>
        </is>
      </c>
      <c r="E4" t="inlineStr">
        <is>
          <t>configuration/fonts/dejavu-fonts-ttf-2.37/ttf/DejaVuSansCondensed-Oblique.ttf</t>
        </is>
      </c>
      <c r="F4" t="inlineStr">
        <is>
          <t>Left</t>
        </is>
      </c>
      <c r="H4" t="inlineStr">
        <is>
          <t>WORD</t>
        </is>
      </c>
      <c r="I4" t="b">
        <v>1</v>
      </c>
      <c r="J4" t="inlineStr">
        <is>
          <t>https://github.com/dejavu-fonts/dejavu-fonts/releases/tag/version_2_37</t>
        </is>
      </c>
    </row>
    <row r="5">
      <c r="A5" t="inlineStr">
        <is>
          <t>default</t>
        </is>
      </c>
      <c r="B5" t="inlineStr">
        <is>
          <t>no</t>
        </is>
      </c>
      <c r="C5" t="inlineStr">
        <is>
          <t>dejavu</t>
        </is>
      </c>
      <c r="D5" t="inlineStr">
        <is>
          <t>bi</t>
        </is>
      </c>
      <c r="E5" t="inlineStr">
        <is>
          <t>configuration/fonts/dejavu-fonts-ttf-2.37/ttf/DejaVuSansCondensed-BoldOblique.ttf</t>
        </is>
      </c>
      <c r="F5" t="inlineStr">
        <is>
          <t>Left</t>
        </is>
      </c>
      <c r="H5" t="inlineStr">
        <is>
          <t>WORD</t>
        </is>
      </c>
      <c r="I5" t="b">
        <v>1</v>
      </c>
      <c r="J5" t="inlineStr">
        <is>
          <t>https://github.com/dejavu-fonts/dejavu-fonts/releases/tag/version_2_37</t>
        </is>
      </c>
    </row>
    <row r="6">
      <c r="A6" t="inlineStr">
        <is>
          <t>Chinese - Traditional</t>
        </is>
      </c>
      <c r="B6" t="inlineStr">
        <is>
          <t>yes</t>
        </is>
      </c>
      <c r="C6" t="inlineStr">
        <is>
          <t>noto_sans_hk</t>
        </is>
      </c>
      <c r="E6" t="inlineStr">
        <is>
          <t>configuration/fonts/NotoSansCJKtc-VF.ttf</t>
        </is>
      </c>
      <c r="F6" t="inlineStr">
        <is>
          <t>Left</t>
        </is>
      </c>
      <c r="H6" t="inlineStr">
        <is>
          <t>CHAR</t>
        </is>
      </c>
      <c r="I6" t="b">
        <v>1</v>
      </c>
      <c r="J6" t="inlineStr">
        <is>
          <t>https://github.com/googlefonts/noto-cjk/raw/main/Sans/Variable/TTF/NotoSansCJKtc-VF.ttf</t>
        </is>
      </c>
    </row>
    <row r="7">
      <c r="A7" t="inlineStr">
        <is>
          <t>Chinese - Traditional</t>
        </is>
      </c>
      <c r="B7" t="inlineStr">
        <is>
          <t>yes</t>
        </is>
      </c>
      <c r="C7" t="inlineStr">
        <is>
          <t>noto_sans_hk</t>
        </is>
      </c>
      <c r="D7" t="inlineStr">
        <is>
          <t>b</t>
        </is>
      </c>
      <c r="E7" t="inlineStr">
        <is>
          <t>configuration/fonts/NotoSansCJKtc-VF.ttf</t>
        </is>
      </c>
      <c r="F7" t="inlineStr">
        <is>
          <t>Left</t>
        </is>
      </c>
      <c r="H7" t="inlineStr">
        <is>
          <t>CHAR</t>
        </is>
      </c>
      <c r="I7" t="b">
        <v>1</v>
      </c>
      <c r="J7" t="inlineStr">
        <is>
          <t>https://github.com/googlefonts/noto-cjk/raw/main/Sans/Variable/TTF/NotoSansCJKtc-VF.ttf</t>
        </is>
      </c>
    </row>
    <row r="8">
      <c r="A8" t="inlineStr">
        <is>
          <t>Chinese - Traditional</t>
        </is>
      </c>
      <c r="B8" t="inlineStr">
        <is>
          <t>yes</t>
        </is>
      </c>
      <c r="C8" t="inlineStr">
        <is>
          <t>noto_sans_hk</t>
        </is>
      </c>
      <c r="D8" t="inlineStr">
        <is>
          <t>i</t>
        </is>
      </c>
      <c r="E8" t="inlineStr">
        <is>
          <t>configuration/fonts/NotoSansCJKtc-VF.ttf</t>
        </is>
      </c>
      <c r="F8" t="inlineStr">
        <is>
          <t>Left</t>
        </is>
      </c>
      <c r="H8" t="inlineStr">
        <is>
          <t>CHAR</t>
        </is>
      </c>
      <c r="I8" t="b">
        <v>1</v>
      </c>
      <c r="J8" t="inlineStr">
        <is>
          <t>https://github.com/googlefonts/noto-cjk/raw/main/Sans/Variable/TTF/NotoSansCJKtc-VF.ttf</t>
        </is>
      </c>
    </row>
    <row r="9">
      <c r="A9" t="inlineStr">
        <is>
          <t>Chinese - Traditional</t>
        </is>
      </c>
      <c r="B9" t="inlineStr">
        <is>
          <t>yes</t>
        </is>
      </c>
      <c r="C9" t="inlineStr">
        <is>
          <t>noto_sans_hk</t>
        </is>
      </c>
      <c r="D9" t="inlineStr">
        <is>
          <t>bi</t>
        </is>
      </c>
      <c r="E9" t="inlineStr">
        <is>
          <t>configuration/fonts/NotoSansCJKtc-VF.ttf</t>
        </is>
      </c>
      <c r="F9" t="inlineStr">
        <is>
          <t>Left</t>
        </is>
      </c>
      <c r="H9" t="inlineStr">
        <is>
          <t>CHAR</t>
        </is>
      </c>
      <c r="I9" t="b">
        <v>1</v>
      </c>
      <c r="J9" t="inlineStr">
        <is>
          <t>https://github.com/googlefonts/noto-cjk/raw/main/Sans/Variable/TTF/NotoSansCJKtc-VF.ttf</t>
        </is>
      </c>
    </row>
    <row r="10">
      <c r="A10" t="inlineStr">
        <is>
          <t>Chinese - Simplified</t>
        </is>
      </c>
      <c r="B10" t="inlineStr">
        <is>
          <t>yes</t>
        </is>
      </c>
      <c r="C10" t="inlineStr">
        <is>
          <t>noto_sans_sc</t>
        </is>
      </c>
      <c r="E10" t="inlineStr">
        <is>
          <t>configuration/fonts/NotoSansCJKsc-VF.ttf</t>
        </is>
      </c>
      <c r="F10" t="inlineStr">
        <is>
          <t>Left</t>
        </is>
      </c>
      <c r="H10" t="inlineStr">
        <is>
          <t>CHAR</t>
        </is>
      </c>
      <c r="I10" t="b">
        <v>1</v>
      </c>
      <c r="J10" t="inlineStr">
        <is>
          <t>https://github.com/googlefonts/noto-cjk/raw/main/Sans/Variable/TTF/NotoSansCJKsc-VF.ttf</t>
        </is>
      </c>
    </row>
    <row r="11">
      <c r="A11" t="inlineStr">
        <is>
          <t>Chinese - Simplified</t>
        </is>
      </c>
      <c r="B11" t="inlineStr">
        <is>
          <t>yes</t>
        </is>
      </c>
      <c r="C11" t="inlineStr">
        <is>
          <t>noto_sans_sc</t>
        </is>
      </c>
      <c r="D11" t="inlineStr">
        <is>
          <t>b</t>
        </is>
      </c>
      <c r="E11" t="inlineStr">
        <is>
          <t>configuration/fonts/NotoSansCJKsc-VF.ttf</t>
        </is>
      </c>
      <c r="F11" t="inlineStr">
        <is>
          <t>Left</t>
        </is>
      </c>
      <c r="H11" t="inlineStr">
        <is>
          <t>CHAR</t>
        </is>
      </c>
      <c r="I11" t="b">
        <v>1</v>
      </c>
      <c r="J11" t="inlineStr">
        <is>
          <t>https://github.com/googlefonts/noto-cjk/raw/main/Sans/Variable/TTF/NotoSansCJKsc-VF.ttf</t>
        </is>
      </c>
    </row>
    <row r="12">
      <c r="A12" t="inlineStr">
        <is>
          <t>Chinese - Simplified</t>
        </is>
      </c>
      <c r="B12" t="inlineStr">
        <is>
          <t>yes</t>
        </is>
      </c>
      <c r="C12" t="inlineStr">
        <is>
          <t>noto_sans_sc</t>
        </is>
      </c>
      <c r="D12" t="inlineStr">
        <is>
          <t>i</t>
        </is>
      </c>
      <c r="E12" t="inlineStr">
        <is>
          <t>configuration/fonts/NotoSansCJKsc-VF.ttf</t>
        </is>
      </c>
      <c r="F12" t="inlineStr">
        <is>
          <t>Left</t>
        </is>
      </c>
      <c r="H12" t="inlineStr">
        <is>
          <t>CHAR</t>
        </is>
      </c>
      <c r="I12" t="b">
        <v>1</v>
      </c>
      <c r="J12" t="inlineStr">
        <is>
          <t>https://github.com/googlefonts/noto-cjk/raw/main/Sans/Variable/TTF/NotoSansCJKsc-VF.ttf</t>
        </is>
      </c>
    </row>
    <row r="13">
      <c r="A13" t="inlineStr">
        <is>
          <t>Chinese - Simplified</t>
        </is>
      </c>
      <c r="B13" t="inlineStr">
        <is>
          <t>yes</t>
        </is>
      </c>
      <c r="C13" t="inlineStr">
        <is>
          <t>noto_sans_sc</t>
        </is>
      </c>
      <c r="D13" t="inlineStr">
        <is>
          <t>bi</t>
        </is>
      </c>
      <c r="E13" t="inlineStr">
        <is>
          <t>configuration/fonts/NotoSansCJKsc-VF.ttf</t>
        </is>
      </c>
      <c r="F13" t="inlineStr">
        <is>
          <t>Left</t>
        </is>
      </c>
      <c r="H13" t="inlineStr">
        <is>
          <t>CHAR</t>
        </is>
      </c>
      <c r="I13" t="b">
        <v>1</v>
      </c>
      <c r="J13" t="inlineStr">
        <is>
          <t>https://github.com/googlefonts/noto-cjk/raw/main/Sans/Variable/TTF/NotoSansCJKsc-VF.ttf</t>
        </is>
      </c>
    </row>
    <row r="14">
      <c r="A14" t="inlineStr">
        <is>
          <t>Japanese</t>
        </is>
      </c>
      <c r="B14" t="inlineStr">
        <is>
          <t>yes</t>
        </is>
      </c>
      <c r="C14" t="inlineStr">
        <is>
          <t>noto_sans_jp</t>
        </is>
      </c>
      <c r="E14" t="inlineStr">
        <is>
          <t>configuration/fonts/NotoSansCJKjp-VF.ttf</t>
        </is>
      </c>
      <c r="F14" t="inlineStr">
        <is>
          <t>Left</t>
        </is>
      </c>
      <c r="H14" t="inlineStr">
        <is>
          <t>CHAR</t>
        </is>
      </c>
      <c r="I14" t="b">
        <v>1</v>
      </c>
      <c r="J14" t="inlineStr">
        <is>
          <t>https://github.com/notofonts/noto-cjk/raw/main/Sans/Variable/TTF/NotoSansCJKjp-VF.ttf</t>
        </is>
      </c>
    </row>
    <row r="15">
      <c r="A15" t="inlineStr">
        <is>
          <t>Japanese</t>
        </is>
      </c>
      <c r="B15" t="inlineStr">
        <is>
          <t>yes</t>
        </is>
      </c>
      <c r="C15" t="inlineStr">
        <is>
          <t>noto_sans_jp</t>
        </is>
      </c>
      <c r="D15" t="inlineStr">
        <is>
          <t>b</t>
        </is>
      </c>
      <c r="E15" t="inlineStr">
        <is>
          <t>configuration/fonts/NotoSansCJKjp-VF.ttf</t>
        </is>
      </c>
      <c r="F15" t="inlineStr">
        <is>
          <t>Left</t>
        </is>
      </c>
      <c r="H15" t="inlineStr">
        <is>
          <t>CHAR</t>
        </is>
      </c>
      <c r="I15" t="b">
        <v>1</v>
      </c>
      <c r="J15" t="inlineStr">
        <is>
          <t>https://github.com/notofonts/noto-cjk/raw/main/Sans/Variable/TTF/NotoSansCJKjp-VF.ttf</t>
        </is>
      </c>
    </row>
    <row r="16">
      <c r="A16" t="inlineStr">
        <is>
          <t>Japanese</t>
        </is>
      </c>
      <c r="B16" t="inlineStr">
        <is>
          <t>yes</t>
        </is>
      </c>
      <c r="C16" t="inlineStr">
        <is>
          <t>noto_sans_jp</t>
        </is>
      </c>
      <c r="D16" t="inlineStr">
        <is>
          <t>i</t>
        </is>
      </c>
      <c r="E16" t="inlineStr">
        <is>
          <t>configuration/fonts/NotoSansCJKjp-VF.ttf</t>
        </is>
      </c>
      <c r="F16" t="inlineStr">
        <is>
          <t>Left</t>
        </is>
      </c>
      <c r="H16" t="inlineStr">
        <is>
          <t>CHAR</t>
        </is>
      </c>
      <c r="I16" t="b">
        <v>1</v>
      </c>
      <c r="J16" t="inlineStr">
        <is>
          <t>https://github.com/notofonts/noto-cjk/raw/main/Sans/Variable/TTF/NotoSansCJKjp-VF.ttf</t>
        </is>
      </c>
    </row>
    <row r="17">
      <c r="A17" t="inlineStr">
        <is>
          <t>Japanese</t>
        </is>
      </c>
      <c r="B17" t="inlineStr">
        <is>
          <t>yes</t>
        </is>
      </c>
      <c r="C17" t="inlineStr">
        <is>
          <t>noto_sans_jp</t>
        </is>
      </c>
      <c r="D17" t="inlineStr">
        <is>
          <t>bi</t>
        </is>
      </c>
      <c r="E17" t="inlineStr">
        <is>
          <t>configuration/fonts/NotoSansCJKjp-VF.ttf</t>
        </is>
      </c>
      <c r="F17" t="inlineStr">
        <is>
          <t>Left</t>
        </is>
      </c>
      <c r="H17" t="inlineStr">
        <is>
          <t>CHAR</t>
        </is>
      </c>
      <c r="I17" t="b">
        <v>1</v>
      </c>
      <c r="J17" t="inlineStr">
        <is>
          <t>https://github.com/notofonts/noto-cjk/raw/main/Sans/Variable/TTF/NotoSansCJKjp-VF.ttf</t>
        </is>
      </c>
    </row>
    <row r="18">
      <c r="A18" t="inlineStr">
        <is>
          <t>Korean</t>
        </is>
      </c>
      <c r="B18" t="inlineStr">
        <is>
          <t>yes</t>
        </is>
      </c>
      <c r="C18" t="inlineStr">
        <is>
          <t>noto_sans_kr</t>
        </is>
      </c>
      <c r="E18" t="inlineStr">
        <is>
          <t>configuration/fonts/NotoSansCJKkr-VF.ttf</t>
        </is>
      </c>
      <c r="F18" t="inlineStr">
        <is>
          <t>Left</t>
        </is>
      </c>
      <c r="H18" t="inlineStr">
        <is>
          <t>WORD</t>
        </is>
      </c>
      <c r="I18" t="b">
        <v>1</v>
      </c>
      <c r="J18" t="inlineStr">
        <is>
          <t>https://github.com/notofonts/noto-cjk/raw/main/Sans/Variable/TTF/NotoSansCJKkr-VF.ttf</t>
        </is>
      </c>
    </row>
    <row r="19">
      <c r="A19" t="inlineStr">
        <is>
          <t>Korean</t>
        </is>
      </c>
      <c r="B19" t="inlineStr">
        <is>
          <t>yes</t>
        </is>
      </c>
      <c r="C19" t="inlineStr">
        <is>
          <t>noto_sans_kr</t>
        </is>
      </c>
      <c r="D19" t="inlineStr">
        <is>
          <t>b</t>
        </is>
      </c>
      <c r="E19" t="inlineStr">
        <is>
          <t>configuration/fonts/NotoSansCJKkr-VF.ttf</t>
        </is>
      </c>
      <c r="F19" t="inlineStr">
        <is>
          <t>Left</t>
        </is>
      </c>
      <c r="H19" t="inlineStr">
        <is>
          <t>WORD</t>
        </is>
      </c>
      <c r="I19" t="b">
        <v>1</v>
      </c>
      <c r="J19" t="inlineStr">
        <is>
          <t>https://github.com/notofonts/noto-cjk/raw/main/Sans/Variable/TTF/NotoSansCJKkr-VF.ttf</t>
        </is>
      </c>
    </row>
    <row r="20">
      <c r="A20" t="inlineStr">
        <is>
          <t>Korean</t>
        </is>
      </c>
      <c r="B20" t="inlineStr">
        <is>
          <t>yes</t>
        </is>
      </c>
      <c r="C20" t="inlineStr">
        <is>
          <t>noto_sans_kr</t>
        </is>
      </c>
      <c r="D20" t="inlineStr">
        <is>
          <t>i</t>
        </is>
      </c>
      <c r="E20" t="inlineStr">
        <is>
          <t>configuration/fonts/NotoSansCJKkr-VF.ttf</t>
        </is>
      </c>
      <c r="F20" t="inlineStr">
        <is>
          <t>Left</t>
        </is>
      </c>
      <c r="H20" t="inlineStr">
        <is>
          <t>WORD</t>
        </is>
      </c>
      <c r="I20" t="b">
        <v>1</v>
      </c>
      <c r="J20" t="inlineStr">
        <is>
          <t>https://github.com/notofonts/noto-cjk/raw/main/Sans/Variable/TTF/NotoSansCJKkr-VF.ttf</t>
        </is>
      </c>
    </row>
    <row r="21">
      <c r="A21" t="inlineStr">
        <is>
          <t>Korean</t>
        </is>
      </c>
      <c r="B21" t="inlineStr">
        <is>
          <t>yes</t>
        </is>
      </c>
      <c r="C21" t="inlineStr">
        <is>
          <t>noto_sans_kr</t>
        </is>
      </c>
      <c r="D21" t="inlineStr">
        <is>
          <t>bi</t>
        </is>
      </c>
      <c r="E21" t="inlineStr">
        <is>
          <t>configuration/fonts/NotoSansCJKkr-VF.ttf</t>
        </is>
      </c>
      <c r="F21" t="inlineStr">
        <is>
          <t>Left</t>
        </is>
      </c>
      <c r="H21" t="inlineStr">
        <is>
          <t>WORD</t>
        </is>
      </c>
      <c r="I21" t="b">
        <v>1</v>
      </c>
      <c r="J21" t="inlineStr">
        <is>
          <t>https://github.com/notofonts/noto-cjk/raw/main/Sans/Variable/TTF/NotoSansCJKkr-VF.ttf</t>
        </is>
      </c>
    </row>
    <row r="22">
      <c r="A22" t="inlineStr">
        <is>
          <t>Thai</t>
        </is>
      </c>
      <c r="B22" t="inlineStr">
        <is>
          <t>yes</t>
        </is>
      </c>
      <c r="C22" t="inlineStr">
        <is>
          <t>waree</t>
        </is>
      </c>
      <c r="E22" t="inlineStr">
        <is>
          <t>configuration/fonts/fpdf_unicode_font_pack/Waree.ttf</t>
        </is>
      </c>
      <c r="F22" t="inlineStr">
        <is>
          <t>Left</t>
        </is>
      </c>
      <c r="G22" t="inlineStr">
        <is>
          <t>&lt;21,-1</t>
        </is>
      </c>
      <c r="H22" t="inlineStr">
        <is>
          <t>WORD</t>
        </is>
      </c>
      <c r="I22" t="b">
        <v>1</v>
      </c>
      <c r="J22" t="inlineStr">
        <is>
          <t>https://github.com/reingart/pyfpdf/releases/download/binary/fpdf_unicode_font_pack.zip</t>
        </is>
      </c>
    </row>
    <row r="23">
      <c r="A23" t="inlineStr">
        <is>
          <t>Thai</t>
        </is>
      </c>
      <c r="B23" t="inlineStr">
        <is>
          <t>yes</t>
        </is>
      </c>
      <c r="C23" t="inlineStr">
        <is>
          <t>waree</t>
        </is>
      </c>
      <c r="D23" t="inlineStr">
        <is>
          <t>b</t>
        </is>
      </c>
      <c r="E23" t="inlineStr">
        <is>
          <t>configuration/fonts/fpdf_unicode_font_pack/Waree-Bold.ttf</t>
        </is>
      </c>
      <c r="F23" t="inlineStr">
        <is>
          <t>Left</t>
        </is>
      </c>
      <c r="G23" t="inlineStr">
        <is>
          <t>&lt;21,-1</t>
        </is>
      </c>
      <c r="H23" t="inlineStr">
        <is>
          <t>WORD</t>
        </is>
      </c>
      <c r="I23" t="b">
        <v>1</v>
      </c>
      <c r="J23" t="inlineStr">
        <is>
          <t>https://github.com/reingart/pyfpdf/releases/download/binary/fpdf_unicode_font_pack.zip</t>
        </is>
      </c>
    </row>
    <row r="24">
      <c r="A24" t="inlineStr">
        <is>
          <t>Thai</t>
        </is>
      </c>
      <c r="B24" t="inlineStr">
        <is>
          <t>yes</t>
        </is>
      </c>
      <c r="C24" t="inlineStr">
        <is>
          <t>waree</t>
        </is>
      </c>
      <c r="D24" t="inlineStr">
        <is>
          <t>i</t>
        </is>
      </c>
      <c r="E24" t="inlineStr">
        <is>
          <t>configuration/fonts/fpdf_unicode_font_pack/Waree-BoldOblique.ttf</t>
        </is>
      </c>
      <c r="F24" t="inlineStr">
        <is>
          <t>Left</t>
        </is>
      </c>
      <c r="G24" t="inlineStr">
        <is>
          <t>&lt;21,-1</t>
        </is>
      </c>
      <c r="H24" t="inlineStr">
        <is>
          <t>WORD</t>
        </is>
      </c>
      <c r="I24" t="b">
        <v>1</v>
      </c>
      <c r="J24" t="inlineStr">
        <is>
          <t>https://github.com/reingart/pyfpdf/releases/download/binary/fpdf_unicode_font_pack.zip</t>
        </is>
      </c>
    </row>
    <row r="25">
      <c r="A25" t="inlineStr">
        <is>
          <t>Thai</t>
        </is>
      </c>
      <c r="B25" t="inlineStr">
        <is>
          <t>yes</t>
        </is>
      </c>
      <c r="C25" t="inlineStr">
        <is>
          <t>waree</t>
        </is>
      </c>
      <c r="D25" t="inlineStr">
        <is>
          <t>bi</t>
        </is>
      </c>
      <c r="E25" t="inlineStr">
        <is>
          <t>configuration/fonts/fpdf_unicode_font_pack/Waree-Oblique.ttf</t>
        </is>
      </c>
      <c r="F25" t="inlineStr">
        <is>
          <t>Left</t>
        </is>
      </c>
      <c r="G25" t="inlineStr">
        <is>
          <t>&lt;21,-1</t>
        </is>
      </c>
      <c r="H25" t="inlineStr">
        <is>
          <t>WORD</t>
        </is>
      </c>
      <c r="I25" t="b">
        <v>1</v>
      </c>
      <c r="J25" t="inlineStr">
        <is>
          <t>https://github.com/reingart/pyfpdf/releases/download/binary/fpdf_unicode_font_pack.zip</t>
        </is>
      </c>
    </row>
    <row r="26">
      <c r="A26" t="inlineStr">
        <is>
          <t>Tamil</t>
        </is>
      </c>
      <c r="B26" t="inlineStr">
        <is>
          <t>yes</t>
        </is>
      </c>
      <c r="C26" t="inlineStr">
        <is>
          <t>noto_sans_tamil</t>
        </is>
      </c>
      <c r="E26" t="inlineStr">
        <is>
          <t>configuration/fonts/NotoSansTamil/NotoSansTamil-Regular.ttf</t>
        </is>
      </c>
      <c r="F26" t="inlineStr">
        <is>
          <t>Left</t>
        </is>
      </c>
      <c r="G26" t="inlineStr">
        <is>
          <t>&lt;21,-3</t>
        </is>
      </c>
      <c r="H26" t="inlineStr">
        <is>
          <t>WORD</t>
        </is>
      </c>
      <c r="I26" t="b">
        <v>1</v>
      </c>
      <c r="J26" t="inlineStr">
        <is>
          <t>https://notofonts.github.io/tamil/fonts/NotoSansTamil/googlefonts/ttf/NotoSansTamil-Regular.ttf</t>
        </is>
      </c>
    </row>
    <row r="27">
      <c r="A27" t="inlineStr">
        <is>
          <t>Tamil</t>
        </is>
      </c>
      <c r="B27" t="inlineStr">
        <is>
          <t>yes</t>
        </is>
      </c>
      <c r="C27" t="inlineStr">
        <is>
          <t>noto_sans_tamil</t>
        </is>
      </c>
      <c r="D27" t="inlineStr">
        <is>
          <t>b</t>
        </is>
      </c>
      <c r="E27" t="inlineStr">
        <is>
          <t>configuration/fonts/NotoSansTamil/NotoSansTamil-Bold.ttf</t>
        </is>
      </c>
      <c r="F27" t="inlineStr">
        <is>
          <t>Left</t>
        </is>
      </c>
      <c r="G27" t="inlineStr">
        <is>
          <t>&lt;21,-3</t>
        </is>
      </c>
      <c r="H27" t="inlineStr">
        <is>
          <t>WORD</t>
        </is>
      </c>
      <c r="I27" t="b">
        <v>1</v>
      </c>
      <c r="J27" t="inlineStr">
        <is>
          <t>https://notofonts.github.io/tamil/fonts/NotoSansTamil/googlefonts/ttf/NotoSansTamil-Bold.ttf</t>
        </is>
      </c>
    </row>
    <row r="28">
      <c r="A28" t="inlineStr">
        <is>
          <t>Tamil</t>
        </is>
      </c>
      <c r="B28" t="inlineStr">
        <is>
          <t>yes</t>
        </is>
      </c>
      <c r="C28" t="inlineStr">
        <is>
          <t>noto_sans_tamil</t>
        </is>
      </c>
      <c r="D28" t="inlineStr">
        <is>
          <t>i</t>
        </is>
      </c>
      <c r="E28" t="inlineStr">
        <is>
          <t>configuration/fonts/NotoSansTamil/NotoSansTamil-Regular.ttf</t>
        </is>
      </c>
      <c r="F28" t="inlineStr">
        <is>
          <t>Left</t>
        </is>
      </c>
      <c r="G28" t="inlineStr">
        <is>
          <t>&lt;21,-3</t>
        </is>
      </c>
      <c r="H28" t="inlineStr">
        <is>
          <t>WORD</t>
        </is>
      </c>
      <c r="I28" t="b">
        <v>1</v>
      </c>
      <c r="J28" t="inlineStr">
        <is>
          <t>https://notofonts.github.io/tamil/fonts/NotoSansTamil/googlefonts/ttf/NotoSansTamil-Regular.ttf</t>
        </is>
      </c>
    </row>
    <row r="29">
      <c r="A29" t="inlineStr">
        <is>
          <t>Tamil</t>
        </is>
      </c>
      <c r="B29" t="inlineStr">
        <is>
          <t>yes</t>
        </is>
      </c>
      <c r="C29" t="inlineStr">
        <is>
          <t>noto_sans_tamil</t>
        </is>
      </c>
      <c r="D29" t="inlineStr">
        <is>
          <t>bi</t>
        </is>
      </c>
      <c r="E29" t="inlineStr">
        <is>
          <t>configuration/fonts/NotoSansTamil/NotoSansTamil-Bold.ttf</t>
        </is>
      </c>
      <c r="F29" t="inlineStr">
        <is>
          <t>Left</t>
        </is>
      </c>
      <c r="G29" t="inlineStr">
        <is>
          <t>&lt;21,-3</t>
        </is>
      </c>
      <c r="H29" t="inlineStr">
        <is>
          <t>WORD</t>
        </is>
      </c>
      <c r="I29" t="b">
        <v>1</v>
      </c>
      <c r="J29" t="inlineStr">
        <is>
          <t>https://notofonts.github.io/tamil/fonts/NotoSansTamil/googlefonts/ttf/NotoSansTamil-Bold.ttf</t>
        </is>
      </c>
    </row>
    <row r="30">
      <c r="A30" t="inlineStr">
        <is>
          <t>Arabic,Persian</t>
        </is>
      </c>
      <c r="B30" t="inlineStr">
        <is>
          <t>yes</t>
        </is>
      </c>
      <c r="C30" t="inlineStr">
        <is>
          <t>Vazirmatn</t>
        </is>
      </c>
      <c r="E30" t="inlineStr">
        <is>
          <t>configuration/fonts/vazirmatn-v33.003/fonts/ttf/Vazirmatn-Regular.ttf</t>
        </is>
      </c>
      <c r="F30" t="inlineStr">
        <is>
          <t>Right</t>
        </is>
      </c>
      <c r="H30" t="inlineStr">
        <is>
          <t>WORD</t>
        </is>
      </c>
      <c r="I30" t="b">
        <v>1</v>
      </c>
      <c r="J30" t="inlineStr">
        <is>
          <t>https://github.com/rastikerdar/vazirmatn/blob/master/fonts/ttf/Vazirmatn-Regular.ttf</t>
        </is>
      </c>
    </row>
    <row r="31">
      <c r="A31" t="inlineStr">
        <is>
          <t>Arabic,Persian</t>
        </is>
      </c>
      <c r="B31" t="inlineStr">
        <is>
          <t>yes</t>
        </is>
      </c>
      <c r="C31" t="inlineStr">
        <is>
          <t>Vazirmatn</t>
        </is>
      </c>
      <c r="D31" t="inlineStr">
        <is>
          <t>b</t>
        </is>
      </c>
      <c r="E31" t="inlineStr">
        <is>
          <t>configuration/fonts/vazirmatn-v33.003/fonts/ttf/Vazirmatn-Bold.ttf</t>
        </is>
      </c>
      <c r="F31" t="inlineStr">
        <is>
          <t>Right</t>
        </is>
      </c>
      <c r="H31" t="inlineStr">
        <is>
          <t>WORD</t>
        </is>
      </c>
      <c r="I31" t="b">
        <v>1</v>
      </c>
      <c r="J31" t="inlineStr">
        <is>
          <t>https://github.com/rastikerdar/vazirmatn/blob/master/fonts/ttf/Vazirmatn-Bold.ttf</t>
        </is>
      </c>
    </row>
    <row r="32">
      <c r="A32" t="inlineStr">
        <is>
          <t>Arabic,Persian</t>
        </is>
      </c>
      <c r="B32" t="inlineStr">
        <is>
          <t>yes</t>
        </is>
      </c>
      <c r="C32" t="inlineStr">
        <is>
          <t>Vazirmatn</t>
        </is>
      </c>
      <c r="D32" t="inlineStr">
        <is>
          <t>i</t>
        </is>
      </c>
      <c r="E32" t="inlineStr">
        <is>
          <t>configuration/fonts/vazirmatn-v33.003/fonts/ttf/Vazirmatn-Light.ttf</t>
        </is>
      </c>
      <c r="F32" t="inlineStr">
        <is>
          <t>Right</t>
        </is>
      </c>
      <c r="H32" t="inlineStr">
        <is>
          <t>WORD</t>
        </is>
      </c>
      <c r="I32" t="b">
        <v>1</v>
      </c>
      <c r="J32" t="inlineStr">
        <is>
          <t>https://github.com/rastikerdar/vazirmatn/blob/master/fonts/ttf/Vazirmatn-Regular.ttf</t>
        </is>
      </c>
    </row>
    <row r="33">
      <c r="A33" t="inlineStr">
        <is>
          <t>Arabic,Persian</t>
        </is>
      </c>
      <c r="B33" t="inlineStr">
        <is>
          <t>yes</t>
        </is>
      </c>
      <c r="C33" t="inlineStr">
        <is>
          <t>Vazirmatn</t>
        </is>
      </c>
      <c r="D33" t="inlineStr">
        <is>
          <t>bi</t>
        </is>
      </c>
      <c r="E33" t="inlineStr">
        <is>
          <t>configuration/fonts/vazirmatn-v33.003/fonts/ttf/Vazirmatn-Bold.ttf</t>
        </is>
      </c>
      <c r="F33" t="inlineStr">
        <is>
          <t>Right</t>
        </is>
      </c>
      <c r="H33" t="inlineStr">
        <is>
          <t>WORD</t>
        </is>
      </c>
      <c r="I33" t="b">
        <v>1</v>
      </c>
      <c r="J33" t="inlineStr">
        <is>
          <t>https://github.com/rastikerdar/vazirmatn/blob/master/fonts/ttf/Vazirmatn-Bold.ttf</t>
        </is>
      </c>
    </row>
    <row r="34">
      <c r="A34" t="inlineStr">
        <is>
          <t>Hindi,Nepali</t>
        </is>
      </c>
      <c r="B34" t="inlineStr">
        <is>
          <t>yes</t>
        </is>
      </c>
      <c r="C34" t="inlineStr">
        <is>
          <t>noto_sans_devanagari</t>
        </is>
      </c>
      <c r="E34" t="inlineStr">
        <is>
          <t>configuration/fonts/NotoSansDevanagari/NotoSansDevanagari-Regular.ttf</t>
        </is>
      </c>
      <c r="F34" t="inlineStr">
        <is>
          <t>Left</t>
        </is>
      </c>
      <c r="G34" t="inlineStr">
        <is>
          <t>&lt;12,-1</t>
        </is>
      </c>
      <c r="H34" t="inlineStr">
        <is>
          <t>WORD</t>
        </is>
      </c>
      <c r="I34" t="b">
        <v>1</v>
      </c>
      <c r="J34" t="inlineStr">
        <is>
          <t>https://notofonts.github.io/devanagari/fonts/NotoSansDevanagari/googlefonts/ttf/NotoSansDevanagari-Regular.ttf</t>
        </is>
      </c>
    </row>
    <row r="35">
      <c r="A35" t="inlineStr">
        <is>
          <t>Hindi,Nepali</t>
        </is>
      </c>
      <c r="B35" t="inlineStr">
        <is>
          <t>yes</t>
        </is>
      </c>
      <c r="C35" t="inlineStr">
        <is>
          <t>noto_sans_devanagari</t>
        </is>
      </c>
      <c r="D35" t="inlineStr">
        <is>
          <t>b</t>
        </is>
      </c>
      <c r="E35" t="inlineStr">
        <is>
          <t>configuration/fonts/NotoSansDevanagari/NotoSansDevanagari-Bold.ttf</t>
        </is>
      </c>
      <c r="F35" t="inlineStr">
        <is>
          <t>Left</t>
        </is>
      </c>
      <c r="G35" t="inlineStr">
        <is>
          <t>&lt;12,-1</t>
        </is>
      </c>
      <c r="H35" t="inlineStr">
        <is>
          <t>WORD</t>
        </is>
      </c>
      <c r="I35" t="b">
        <v>1</v>
      </c>
      <c r="J35" t="inlineStr">
        <is>
          <t>https://notofonts.github.io/devanagari/fonts/NotoSansDevanagari/googlefonts/ttf/NotoSansDevanagari-Bold.ttf</t>
        </is>
      </c>
    </row>
    <row r="36">
      <c r="A36" t="inlineStr">
        <is>
          <t>Hindi,Nepali</t>
        </is>
      </c>
      <c r="B36" t="inlineStr">
        <is>
          <t>yes</t>
        </is>
      </c>
      <c r="C36" t="inlineStr">
        <is>
          <t>noto_sans_devanagari</t>
        </is>
      </c>
      <c r="D36" t="inlineStr">
        <is>
          <t>i</t>
        </is>
      </c>
      <c r="E36" t="inlineStr">
        <is>
          <t>configuration/fonts/NotoSansDevanagari/NotoSansDevanagari-Regular.ttf</t>
        </is>
      </c>
      <c r="F36" t="inlineStr">
        <is>
          <t>Left</t>
        </is>
      </c>
      <c r="G36" t="inlineStr">
        <is>
          <t>&lt;12,-1</t>
        </is>
      </c>
      <c r="H36" t="inlineStr">
        <is>
          <t>WORD</t>
        </is>
      </c>
      <c r="I36" t="b">
        <v>1</v>
      </c>
      <c r="J36" t="inlineStr">
        <is>
          <t>https://notofonts.github.io/devanagari/fonts/NotoSansDevanagari/googlefonts/ttf/NotoSansDevanagari-Regular.ttf</t>
        </is>
      </c>
    </row>
    <row r="37">
      <c r="A37" t="inlineStr">
        <is>
          <t>Hindi,Nepali</t>
        </is>
      </c>
      <c r="B37" t="inlineStr">
        <is>
          <t>yes</t>
        </is>
      </c>
      <c r="C37" t="inlineStr">
        <is>
          <t>noto_sans_devanagari</t>
        </is>
      </c>
      <c r="D37" t="inlineStr">
        <is>
          <t>bi</t>
        </is>
      </c>
      <c r="E37" t="inlineStr">
        <is>
          <t>configuration/fonts/NotoSansDevanagari/NotoSansDevanagari-Bold.ttf</t>
        </is>
      </c>
      <c r="F37" t="inlineStr">
        <is>
          <t>Left</t>
        </is>
      </c>
      <c r="G37" t="inlineStr">
        <is>
          <t>&lt;12,-1</t>
        </is>
      </c>
      <c r="H37" t="inlineStr">
        <is>
          <t>WORD</t>
        </is>
      </c>
      <c r="I37" t="b">
        <v>1</v>
      </c>
      <c r="J37" t="inlineStr">
        <is>
          <t>https://notofonts.github.io/devanagari/fonts/NotoSansDevanagari/googlefonts/ttf/NotoSansDevanagari-Bold.ttf</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Carl Higgs</dc:creator>
  <dcterms:created xmlns:dcterms="http://purl.org/dc/terms/" xmlns:xsi="http://www.w3.org/2001/XMLSchema-instance" xsi:type="dcterms:W3CDTF">2022-01-17T05:26:28Z</dcterms:created>
  <dcterms:modified xmlns:dcterms="http://purl.org/dc/terms/" xmlns:xsi="http://www.w3.org/2001/XMLSchema-instance" xsi:type="dcterms:W3CDTF">2026-10-27T03:02:39Z</dcterms:modified>
  <cp:lastModifiedBy>Carl Higgs</cp:lastModifiedBy>
</cp:coreProperties>
</file>

<file path=docProps/custom.xml><?xml version="1.0" encoding="utf-8"?>
<Properties xmlns="http://schemas.openxmlformats.org/officeDocument/2006/custom-properties">
  <property name="MSIP_Label_1b52b3a1-dbcb-41fb-a452-370cf542753f_Enabled" fmtid="{D5CDD505-2E9C-101B-9397-08002B2CF9AE}" pid="2">
    <vt:lpwstr xmlns:vt="http://schemas.openxmlformats.org/officeDocument/2006/docPropsVTypes">true</vt:lpwstr>
  </property>
  <property name="MSIP_Label_1b52b3a1-dbcb-41fb-a452-370cf542753f_SetDate" fmtid="{D5CDD505-2E9C-101B-9397-08002B2CF9AE}" pid="3">
    <vt:lpwstr xmlns:vt="http://schemas.openxmlformats.org/officeDocument/2006/docPropsVTypes">2026-03-31T04:01:15Z</vt:lpwstr>
  </property>
  <property name="MSIP_Label_1b52b3a1-dbcb-41fb-a452-370cf542753f_Method" fmtid="{D5CDD505-2E9C-101B-9397-08002B2CF9AE}" pid="4">
    <vt:lpwstr xmlns:vt="http://schemas.openxmlformats.org/officeDocument/2006/docPropsVTypes">Privileged</vt:lpwstr>
  </property>
  <property name="MSIP_Label_1b52b3a1-dbcb-41fb-a452-370cf542753f_Name" fmtid="{D5CDD505-2E9C-101B-9397-08002B2CF9AE}" pid="5">
    <vt:lpwstr xmlns:vt="http://schemas.openxmlformats.org/officeDocument/2006/docPropsVTypes">Public</vt:lpwstr>
  </property>
  <property name="MSIP_Label_1b52b3a1-dbcb-41fb-a452-370cf542753f_SiteId" fmtid="{D5CDD505-2E9C-101B-9397-08002B2CF9AE}" pid="6">
    <vt:lpwstr xmlns:vt="http://schemas.openxmlformats.org/officeDocument/2006/docPropsVTypes">d1323671-cdbe-4417-b4d4-bdb24b51316b</vt:lpwstr>
  </property>
  <property name="MSIP_Label_1b52b3a1-dbcb-41fb-a452-370cf542753f_ActionId" fmtid="{D5CDD505-2E9C-101B-9397-08002B2CF9AE}" pid="7">
    <vt:lpwstr xmlns:vt="http://schemas.openxmlformats.org/officeDocument/2006/docPropsVTypes">0d622153-08f2-4c89-a1ed-68fd586fe583</vt:lpwstr>
  </property>
  <property name="MSIP_Label_1b52b3a1-dbcb-41fb-a452-370cf542753f_ContentBits" fmtid="{D5CDD505-2E9C-101B-9397-08002B2CF9AE}" pid="8">
    <vt:lpwstr xmlns:vt="http://schemas.openxmlformats.org/officeDocument/2006/docPropsVTypes">0</vt:lpwstr>
  </property>
  <property name="MSIP_Label_1b52b3a1-dbcb-41fb-a452-370cf542753f_Tag" fmtid="{D5CDD505-2E9C-101B-9397-08002B2CF9AE}" pid="9">
    <vt:lpwstr xmlns:vt="http://schemas.openxmlformats.org/officeDocument/2006/docPropsVTypes">10, 0, 1, 1</vt:lpwstr>
  </property>
</Properties>
</file>